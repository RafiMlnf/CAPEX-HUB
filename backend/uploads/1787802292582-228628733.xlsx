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DATA\07. PURCHASING on Log 3\8. Data Supplier\DEVELOPMENT PRODUCT\IMPROVE PRODUCT\Project Individual 2025\"/>
    </mc:Choice>
  </mc:AlternateContent>
  <bookViews>
    <workbookView xWindow="0" yWindow="0" windowWidth="16457" windowHeight="6746"/>
  </bookViews>
  <sheets>
    <sheet name="I" sheetId="1" r:id="rId1"/>
  </sheets>
  <externalReferences>
    <externalReference r:id="rId2"/>
  </externalReferences>
  <definedNames>
    <definedName name="_xlnm.Print_Area" localSheetId="0">I!$A$1:$W$40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3" i="1" l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AU27" i="1"/>
  <c r="AU26" i="1"/>
  <c r="AU24" i="1"/>
  <c r="AN24" i="1"/>
  <c r="AM24" i="1"/>
  <c r="AL24" i="1"/>
  <c r="AI24" i="1"/>
  <c r="AK24" i="1" s="1"/>
  <c r="AH24" i="1"/>
  <c r="AF24" i="1"/>
  <c r="AA24" i="1"/>
  <c r="Z24" i="1"/>
  <c r="AC23" i="1"/>
  <c r="AB23" i="1"/>
  <c r="AA23" i="1"/>
  <c r="O23" i="1"/>
  <c r="P23" i="1" s="1"/>
  <c r="Q23" i="1" s="1"/>
  <c r="L23" i="1"/>
  <c r="AD23" i="1" s="1"/>
  <c r="J23" i="1"/>
  <c r="K23" i="1" s="1"/>
  <c r="AC22" i="1"/>
  <c r="AB22" i="1"/>
  <c r="AA22" i="1"/>
  <c r="O22" i="1"/>
  <c r="AE22" i="1" s="1"/>
  <c r="L22" i="1"/>
  <c r="AD22" i="1" s="1"/>
  <c r="K22" i="1"/>
  <c r="J22" i="1"/>
  <c r="AE21" i="1"/>
  <c r="AD21" i="1"/>
  <c r="AC21" i="1"/>
  <c r="O21" i="1"/>
  <c r="P21" i="1" s="1"/>
  <c r="Q21" i="1" s="1"/>
  <c r="L21" i="1"/>
  <c r="M21" i="1" s="1"/>
  <c r="N21" i="1" s="1"/>
  <c r="J21" i="1"/>
  <c r="K21" i="1" s="1"/>
  <c r="AC20" i="1"/>
  <c r="AA20" i="1"/>
  <c r="O20" i="1"/>
  <c r="AE20" i="1" s="1"/>
  <c r="L20" i="1"/>
  <c r="M20" i="1" s="1"/>
  <c r="N20" i="1" s="1"/>
  <c r="K20" i="1"/>
  <c r="J20" i="1"/>
  <c r="AU19" i="1"/>
  <c r="AM19" i="1"/>
  <c r="AL19" i="1"/>
  <c r="AN19" i="1" s="1"/>
  <c r="AI19" i="1"/>
  <c r="AK19" i="1" s="1"/>
  <c r="AH19" i="1"/>
  <c r="AC19" i="1"/>
  <c r="AB19" i="1"/>
  <c r="AA19" i="1"/>
  <c r="Z19" i="1"/>
  <c r="Q19" i="1"/>
  <c r="P19" i="1"/>
  <c r="O19" i="1"/>
  <c r="AE19" i="1" s="1"/>
  <c r="L19" i="1"/>
  <c r="M19" i="1" s="1"/>
  <c r="N19" i="1" s="1"/>
  <c r="J19" i="1"/>
  <c r="K19" i="1" s="1"/>
  <c r="AN18" i="1"/>
  <c r="AM18" i="1"/>
  <c r="AL18" i="1"/>
  <c r="AI18" i="1"/>
  <c r="AK18" i="1" s="1"/>
  <c r="AH18" i="1"/>
  <c r="AD18" i="1"/>
  <c r="AA18" i="1"/>
  <c r="Z18" i="1"/>
  <c r="O18" i="1"/>
  <c r="P18" i="1" s="1"/>
  <c r="Q18" i="1" s="1"/>
  <c r="N18" i="1"/>
  <c r="M18" i="1"/>
  <c r="L18" i="1"/>
  <c r="I18" i="1"/>
  <c r="AC18" i="1" s="1"/>
  <c r="E18" i="1"/>
  <c r="AB18" i="1" s="1"/>
  <c r="AM17" i="1"/>
  <c r="AN17" i="1" s="1"/>
  <c r="AL17" i="1"/>
  <c r="AI17" i="1"/>
  <c r="AK17" i="1" s="1"/>
  <c r="AH17" i="1"/>
  <c r="P17" i="1"/>
  <c r="Q17" i="1" s="1"/>
  <c r="O17" i="1"/>
  <c r="AE17" i="1" s="1"/>
  <c r="AF17" i="1" s="1"/>
  <c r="M17" i="1"/>
  <c r="N17" i="1" s="1"/>
  <c r="L17" i="1"/>
  <c r="I17" i="1"/>
  <c r="AC17" i="1" s="1"/>
  <c r="E17" i="1"/>
  <c r="AD17" i="1" s="1"/>
  <c r="AM16" i="1"/>
  <c r="AL16" i="1"/>
  <c r="AN16" i="1" s="1"/>
  <c r="AK16" i="1"/>
  <c r="AI16" i="1"/>
  <c r="AH16" i="1"/>
  <c r="O16" i="1"/>
  <c r="AE16" i="1" s="1"/>
  <c r="L16" i="1"/>
  <c r="AD16" i="1" s="1"/>
  <c r="H16" i="1"/>
  <c r="J16" i="1" s="1"/>
  <c r="K16" i="1" s="1"/>
  <c r="E16" i="1"/>
  <c r="AC16" i="1" s="1"/>
  <c r="AN15" i="1"/>
  <c r="AM15" i="1"/>
  <c r="AL15" i="1"/>
  <c r="AK15" i="1"/>
  <c r="AI15" i="1"/>
  <c r="AH15" i="1"/>
  <c r="AD15" i="1"/>
  <c r="O15" i="1"/>
  <c r="AE15" i="1" s="1"/>
  <c r="AF15" i="1" s="1"/>
  <c r="L15" i="1"/>
  <c r="M15" i="1" s="1"/>
  <c r="N15" i="1" s="1"/>
  <c r="K15" i="1"/>
  <c r="J15" i="1"/>
  <c r="H15" i="1"/>
  <c r="E15" i="1"/>
  <c r="AC15" i="1" s="1"/>
  <c r="AM14" i="1"/>
  <c r="AN14" i="1" s="1"/>
  <c r="AL14" i="1"/>
  <c r="AI14" i="1"/>
  <c r="AK14" i="1" s="1"/>
  <c r="AH14" i="1"/>
  <c r="AD14" i="1"/>
  <c r="AC14" i="1"/>
  <c r="AA14" i="1"/>
  <c r="Z14" i="1"/>
  <c r="O14" i="1"/>
  <c r="P14" i="1" s="1"/>
  <c r="Q14" i="1" s="1"/>
  <c r="M14" i="1"/>
  <c r="N14" i="1" s="1"/>
  <c r="L14" i="1"/>
  <c r="J14" i="1"/>
  <c r="K14" i="1" s="1"/>
  <c r="H14" i="1"/>
  <c r="AB14" i="1" s="1"/>
  <c r="AM13" i="1"/>
  <c r="AL13" i="1"/>
  <c r="AN13" i="1" s="1"/>
  <c r="AK13" i="1"/>
  <c r="AI13" i="1"/>
  <c r="AH13" i="1"/>
  <c r="AC13" i="1"/>
  <c r="AB13" i="1"/>
  <c r="AA13" i="1"/>
  <c r="Z13" i="1"/>
  <c r="P13" i="1"/>
  <c r="Q13" i="1" s="1"/>
  <c r="O13" i="1"/>
  <c r="AE13" i="1" s="1"/>
  <c r="L13" i="1"/>
  <c r="AD13" i="1" s="1"/>
  <c r="H13" i="1"/>
  <c r="J13" i="1" s="1"/>
  <c r="K13" i="1" s="1"/>
  <c r="AN12" i="1"/>
  <c r="AM12" i="1"/>
  <c r="AL12" i="1"/>
  <c r="AI12" i="1"/>
  <c r="AK12" i="1" s="1"/>
  <c r="AH12" i="1"/>
  <c r="AD12" i="1"/>
  <c r="AC12" i="1"/>
  <c r="AA12" i="1"/>
  <c r="Z12" i="1"/>
  <c r="O12" i="1"/>
  <c r="P12" i="1" s="1"/>
  <c r="Q12" i="1" s="1"/>
  <c r="L12" i="1"/>
  <c r="H12" i="1"/>
  <c r="M12" i="1" s="1"/>
  <c r="N12" i="1" s="1"/>
  <c r="AM11" i="1"/>
  <c r="AL11" i="1"/>
  <c r="AN11" i="1" s="1"/>
  <c r="AK11" i="1"/>
  <c r="AI11" i="1"/>
  <c r="AH11" i="1"/>
  <c r="AC11" i="1"/>
  <c r="AA11" i="1"/>
  <c r="Z11" i="1"/>
  <c r="O11" i="1"/>
  <c r="P11" i="1" s="1"/>
  <c r="Q11" i="1" s="1"/>
  <c r="L11" i="1"/>
  <c r="AD11" i="1" s="1"/>
  <c r="H11" i="1"/>
  <c r="AB11" i="1" s="1"/>
  <c r="AM10" i="1"/>
  <c r="AN10" i="1" s="1"/>
  <c r="AL10" i="1"/>
  <c r="AI10" i="1"/>
  <c r="AK10" i="1" s="1"/>
  <c r="AH10" i="1"/>
  <c r="AD10" i="1"/>
  <c r="AC10" i="1"/>
  <c r="AB10" i="1"/>
  <c r="AA10" i="1"/>
  <c r="Z10" i="1"/>
  <c r="O10" i="1"/>
  <c r="P10" i="1" s="1"/>
  <c r="Q10" i="1" s="1"/>
  <c r="M10" i="1"/>
  <c r="N10" i="1" s="1"/>
  <c r="L10" i="1"/>
  <c r="J10" i="1"/>
  <c r="K10" i="1" s="1"/>
  <c r="AQ9" i="1"/>
  <c r="AM9" i="1"/>
  <c r="AL9" i="1"/>
  <c r="AN9" i="1" s="1"/>
  <c r="AN26" i="1" s="1"/>
  <c r="AK9" i="1"/>
  <c r="AK26" i="1" s="1"/>
  <c r="AI9" i="1"/>
  <c r="AH9" i="1"/>
  <c r="AG9" i="1"/>
  <c r="AC9" i="1"/>
  <c r="AB9" i="1"/>
  <c r="AA9" i="1"/>
  <c r="Z9" i="1"/>
  <c r="Q9" i="1"/>
  <c r="P9" i="1"/>
  <c r="O9" i="1"/>
  <c r="AE9" i="1" s="1"/>
  <c r="L9" i="1"/>
  <c r="AD9" i="1" s="1"/>
  <c r="J9" i="1"/>
  <c r="K9" i="1" s="1"/>
  <c r="AG7" i="1"/>
  <c r="AB7" i="1"/>
  <c r="AA7" i="1"/>
  <c r="AC26" i="1" l="1"/>
  <c r="I26" i="1" s="1"/>
  <c r="AF9" i="1"/>
  <c r="AF13" i="1"/>
  <c r="AF16" i="1"/>
  <c r="AF19" i="1"/>
  <c r="M9" i="1"/>
  <c r="N9" i="1" s="1"/>
  <c r="P16" i="1"/>
  <c r="Q16" i="1" s="1"/>
  <c r="J18" i="1"/>
  <c r="K18" i="1" s="1"/>
  <c r="AE10" i="1"/>
  <c r="AF10" i="1" s="1"/>
  <c r="M13" i="1"/>
  <c r="N13" i="1" s="1"/>
  <c r="AE14" i="1"/>
  <c r="AF14" i="1" s="1"/>
  <c r="P15" i="1"/>
  <c r="Q15" i="1" s="1"/>
  <c r="J17" i="1"/>
  <c r="K17" i="1" s="1"/>
  <c r="Z17" i="1"/>
  <c r="AD19" i="1"/>
  <c r="AD26" i="1" s="1"/>
  <c r="L26" i="1" s="1"/>
  <c r="L27" i="1" s="1"/>
  <c r="P20" i="1"/>
  <c r="Q20" i="1" s="1"/>
  <c r="AE11" i="1"/>
  <c r="AF11" i="1" s="1"/>
  <c r="J12" i="1"/>
  <c r="K12" i="1" s="1"/>
  <c r="P22" i="1"/>
  <c r="Q22" i="1" s="1"/>
  <c r="J11" i="1"/>
  <c r="K11" i="1" s="1"/>
  <c r="AB12" i="1"/>
  <c r="AB26" i="1" s="1"/>
  <c r="H26" i="1" s="1"/>
  <c r="Z16" i="1"/>
  <c r="AA17" i="1"/>
  <c r="M23" i="1"/>
  <c r="N23" i="1" s="1"/>
  <c r="Z15" i="1"/>
  <c r="AA16" i="1"/>
  <c r="AB17" i="1"/>
  <c r="AE23" i="1"/>
  <c r="AA15" i="1"/>
  <c r="AA26" i="1" s="1"/>
  <c r="G26" i="1" s="1"/>
  <c r="AB16" i="1"/>
  <c r="M11" i="1"/>
  <c r="N11" i="1" s="1"/>
  <c r="AE12" i="1"/>
  <c r="AF12" i="1" s="1"/>
  <c r="AB15" i="1"/>
  <c r="M16" i="1"/>
  <c r="N16" i="1" s="1"/>
  <c r="AE18" i="1"/>
  <c r="AF18" i="1" s="1"/>
  <c r="AD20" i="1"/>
  <c r="M22" i="1"/>
  <c r="N22" i="1" s="1"/>
  <c r="H27" i="1" l="1"/>
  <c r="AE26" i="1"/>
  <c r="O26" i="1" s="1"/>
  <c r="O27" i="1" s="1"/>
  <c r="I27" i="1"/>
</calcChain>
</file>

<file path=xl/sharedStrings.xml><?xml version="1.0" encoding="utf-8"?>
<sst xmlns="http://schemas.openxmlformats.org/spreadsheetml/2006/main" count="140" uniqueCount="72">
  <si>
    <t>PERSETUJUAN PERUBAHAN HARGA BARANG RUTIN</t>
  </si>
  <si>
    <t>Purchasing Dept</t>
  </si>
  <si>
    <t>No. 075/PUR/PHB/ XI /2017 Rev I</t>
  </si>
  <si>
    <t>Effective Date : 1 Maret 2021</t>
  </si>
  <si>
    <t>Supplier :  PT. YONGSHIN INDONESIA</t>
  </si>
  <si>
    <t>Date : 18 Maret 2021</t>
  </si>
  <si>
    <t>No</t>
  </si>
  <si>
    <t>Part No</t>
  </si>
  <si>
    <t>Part Name</t>
  </si>
  <si>
    <t>Qty / month</t>
  </si>
  <si>
    <t>Old Price</t>
  </si>
  <si>
    <t>Pengajuan Harga</t>
  </si>
  <si>
    <t>Target MTM</t>
  </si>
  <si>
    <t>Final</t>
  </si>
  <si>
    <t>KOMPETITOR</t>
  </si>
  <si>
    <t>Remark</t>
  </si>
  <si>
    <t>Kenaikan</t>
  </si>
  <si>
    <t>Before</t>
  </si>
  <si>
    <t>After</t>
  </si>
  <si>
    <t>Selisih</t>
  </si>
  <si>
    <t>Des 2019</t>
  </si>
  <si>
    <t>Harga (Rp)</t>
  </si>
  <si>
    <t>Rp Naik</t>
  </si>
  <si>
    <t>% Naik</t>
  </si>
  <si>
    <t>PT ABC</t>
  </si>
  <si>
    <t>Rp</t>
  </si>
  <si>
    <t>Prices</t>
  </si>
  <si>
    <t>Forecast</t>
  </si>
  <si>
    <t>Belanja</t>
  </si>
  <si>
    <t>%</t>
  </si>
  <si>
    <t>MJPAJA-SMALA1N000</t>
  </si>
  <si>
    <t>LOWER ARM, D01N</t>
  </si>
  <si>
    <t>MJPAJA-SMAUA1N000</t>
  </si>
  <si>
    <t>UPPER ARM, D01N</t>
  </si>
  <si>
    <t>MJPAJA-SMALAD8000</t>
  </si>
  <si>
    <t>LOWER ARM, D80N</t>
  </si>
  <si>
    <t>MJPAJA-SMAUAD8000</t>
  </si>
  <si>
    <t>UPPER ARM, D80N</t>
  </si>
  <si>
    <t>MJPAJA-SMALASA000</t>
  </si>
  <si>
    <t>LOWER ARM, SAPH PJ</t>
  </si>
  <si>
    <t>MJPAJA-SMAUASA000</t>
  </si>
  <si>
    <t>UPPER ARM, SAPH PJ</t>
  </si>
  <si>
    <t xml:space="preserve">  </t>
  </si>
  <si>
    <t>MJPAJA-SMALA80000</t>
  </si>
  <si>
    <t>LOWER ARM, 800A</t>
  </si>
  <si>
    <t>MJPAJA-SMAUA80000</t>
  </si>
  <si>
    <t>UPPER ARM, 800A</t>
  </si>
  <si>
    <t>MJPAJA-SMAUAD40L0</t>
  </si>
  <si>
    <t>UPPER ARM, D40L</t>
  </si>
  <si>
    <t>MJPAJA-SMALAD40L0</t>
  </si>
  <si>
    <t>LOWER ARM, D40L</t>
  </si>
  <si>
    <t>MJPAJA-SMABSD40L0</t>
  </si>
  <si>
    <t>BASE, D40L</t>
  </si>
  <si>
    <t>MJPAJA-CHDJOIN000</t>
  </si>
  <si>
    <t>HANDLE, JOINT PJ</t>
  </si>
  <si>
    <t>MJPAJA-SMASUYHA00</t>
  </si>
  <si>
    <t>SUPPORT, YHA</t>
  </si>
  <si>
    <t>MJPAJA-SMASUD5000</t>
  </si>
  <si>
    <t>SUPPORT, D55L</t>
  </si>
  <si>
    <t>MJPAJA-SMABSD5000</t>
  </si>
  <si>
    <t>BASE, D55L</t>
  </si>
  <si>
    <t>Harga material SPHC</t>
  </si>
  <si>
    <t>Total Belanja</t>
  </si>
  <si>
    <t>Cost Effect</t>
  </si>
  <si>
    <t>Sign</t>
  </si>
  <si>
    <t xml:space="preserve"> </t>
  </si>
  <si>
    <t xml:space="preserve">Admin Div Head </t>
  </si>
  <si>
    <t>Direksi</t>
  </si>
  <si>
    <t>EN</t>
  </si>
  <si>
    <t>Harga</t>
  </si>
  <si>
    <t>SUPPLIER</t>
  </si>
  <si>
    <t>PT 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</si>
</sst>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164" formatCode="_-[$Rp-421]* #,##0_ ;_-[$Rp-421]* \-#,##0\ ;_-[$Rp-421]* &quot;-&quot;_ ;_-@_ "/>
    <numFmt numFmtId="165" formatCode="_-* #,##0.00_-;\-* #,##0.00_-;_-* \-??_-;_-@_-"/>
    <numFmt numFmtId="166" formatCode="_-* #,##0_-;\-* #,##0_-;_-* \-??_-;_-@_-"/>
    <numFmt numFmtId="167" formatCode="_-[$Rp-421]* #,##0_ ;_-[$Rp-421]* \-#,##0\ ;_-[$Rp-421]* \-_ ;_-@_ "/>
    <numFmt numFmtId="168" formatCode="_-* #,##0.00_-;\-* #,##0.00_-;_-* &quot;-&quot;??_-;_-@_-"/>
  </numFmts>
  <fonts count="15">
    <font>
      <sz val="10"/>
      <name val="Arial"/>
      <family val="2"/>
    </font>
    <font>
      <b/>
      <sz val="10"/>
      <name val="Arial Unicode MS"/>
      <family val="2"/>
    </font>
    <font>
      <i/>
      <sz val="10"/>
      <name val="Arial"/>
      <family val="2"/>
    </font>
    <font>
      <sz val="12"/>
      <name val="Calibri"/>
      <family val="2"/>
      <scheme val="minor"/>
    </font>
    <font>
      <sz val="12"/>
      <name val="Arial Unicode MS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Mangal"/>
      <family val="2"/>
    </font>
    <font>
      <sz val="8"/>
      <name val="Mang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sz val="8"/>
      <color indexed="40"/>
      <name val="Arial"/>
      <family val="2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8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/>
      <top style="hair">
        <color indexed="8"/>
      </top>
      <bottom style="hair">
        <color indexed="64"/>
      </bottom>
      <diagonal/>
    </border>
    <border>
      <left/>
      <right style="thin">
        <color indexed="8"/>
      </right>
      <top style="hair">
        <color indexed="8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65" fontId="7" fillId="0" borderId="0" applyFill="0" applyBorder="0" applyAlignment="0" applyProtection="0"/>
    <xf numFmtId="41" fontId="11" fillId="0" borderId="0" applyFill="0" applyBorder="0" applyAlignment="0" applyProtection="0"/>
    <xf numFmtId="9" fontId="7" fillId="0" borderId="0" applyFill="0" applyBorder="0" applyAlignment="0" applyProtection="0"/>
  </cellStyleXfs>
  <cellXfs count="191">
    <xf numFmtId="0" fontId="0" fillId="0" borderId="0" xfId="0"/>
    <xf numFmtId="0" fontId="0" fillId="0" borderId="1" xfId="0" applyFont="1" applyFill="1" applyBorder="1"/>
    <xf numFmtId="0" fontId="0" fillId="0" borderId="2" xfId="0" applyFont="1" applyFill="1" applyBorder="1"/>
    <xf numFmtId="0" fontId="0" fillId="0" borderId="2" xfId="0" applyFill="1" applyBorder="1"/>
    <xf numFmtId="164" fontId="0" fillId="0" borderId="2" xfId="0" applyNumberFormat="1" applyFill="1" applyBorder="1"/>
    <xf numFmtId="0" fontId="0" fillId="0" borderId="3" xfId="0" applyFill="1" applyBorder="1"/>
    <xf numFmtId="0" fontId="0" fillId="0" borderId="0" xfId="0" applyFill="1" applyBorder="1"/>
    <xf numFmtId="0" fontId="0" fillId="0" borderId="0" xfId="0" applyFill="1"/>
    <xf numFmtId="0" fontId="0" fillId="0" borderId="4" xfId="0" applyFont="1" applyFill="1" applyBorder="1"/>
    <xf numFmtId="0" fontId="0" fillId="0" borderId="0" xfId="0" applyFont="1" applyFill="1" applyBorder="1"/>
    <xf numFmtId="0" fontId="1" fillId="0" borderId="0" xfId="0" applyFont="1" applyFill="1" applyBorder="1" applyAlignment="1">
      <alignment horizontal="centerContinuous" vertical="center"/>
    </xf>
    <xf numFmtId="0" fontId="0" fillId="0" borderId="0" xfId="0" applyFill="1" applyBorder="1" applyAlignment="1">
      <alignment horizontal="centerContinuous"/>
    </xf>
    <xf numFmtId="164" fontId="0" fillId="0" borderId="0" xfId="0" applyNumberFormat="1" applyFill="1" applyBorder="1" applyAlignment="1">
      <alignment horizontal="centerContinuous"/>
    </xf>
    <xf numFmtId="164" fontId="0" fillId="0" borderId="0" xfId="0" applyNumberFormat="1" applyFill="1" applyBorder="1"/>
    <xf numFmtId="0" fontId="0" fillId="0" borderId="5" xfId="0" applyFill="1" applyBorder="1"/>
    <xf numFmtId="0" fontId="2" fillId="0" borderId="0" xfId="0" applyFont="1" applyFill="1" applyBorder="1"/>
    <xf numFmtId="0" fontId="0" fillId="0" borderId="0" xfId="0" applyFont="1" applyFill="1" applyBorder="1" applyAlignment="1">
      <alignment horizontal="centerContinuous"/>
    </xf>
    <xf numFmtId="164" fontId="0" fillId="0" borderId="0" xfId="0" applyNumberFormat="1" applyFont="1" applyFill="1" applyBorder="1" applyAlignment="1">
      <alignment horizontal="centerContinuous"/>
    </xf>
    <xf numFmtId="164" fontId="0" fillId="0" borderId="0" xfId="0" applyNumberFormat="1" applyFont="1" applyFill="1" applyBorder="1"/>
    <xf numFmtId="0" fontId="0" fillId="0" borderId="5" xfId="0" applyFont="1" applyFill="1" applyBorder="1"/>
    <xf numFmtId="0" fontId="0" fillId="0" borderId="0" xfId="0" applyFont="1" applyFill="1"/>
    <xf numFmtId="164" fontId="3" fillId="0" borderId="0" xfId="0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centerContinuous" vertical="center"/>
    </xf>
    <xf numFmtId="0" fontId="0" fillId="0" borderId="4" xfId="0" applyFont="1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right" vertical="center"/>
    </xf>
    <xf numFmtId="164" fontId="5" fillId="0" borderId="7" xfId="0" applyNumberFormat="1" applyFont="1" applyFill="1" applyBorder="1" applyAlignment="1">
      <alignment horizontal="right" vertical="center"/>
    </xf>
    <xf numFmtId="164" fontId="5" fillId="0" borderId="9" xfId="0" applyNumberFormat="1" applyFont="1" applyFill="1" applyBorder="1" applyAlignment="1">
      <alignment horizontal="right" vertical="center"/>
    </xf>
    <xf numFmtId="0" fontId="0" fillId="0" borderId="5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5" fillId="0" borderId="4" xfId="0" applyFont="1" applyFill="1" applyBorder="1"/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Continuous" vertical="center" wrapText="1"/>
    </xf>
    <xf numFmtId="0" fontId="6" fillId="2" borderId="9" xfId="0" applyFont="1" applyFill="1" applyBorder="1" applyAlignment="1">
      <alignment horizontal="centerContinuous" vertical="center" wrapText="1"/>
    </xf>
    <xf numFmtId="0" fontId="6" fillId="2" borderId="6" xfId="0" applyFont="1" applyFill="1" applyBorder="1" applyAlignment="1">
      <alignment horizontal="centerContinuous" vertical="center" wrapText="1"/>
    </xf>
    <xf numFmtId="164" fontId="6" fillId="2" borderId="11" xfId="0" applyNumberFormat="1" applyFont="1" applyFill="1" applyBorder="1" applyAlignment="1">
      <alignment horizontal="center" vertical="center"/>
    </xf>
    <xf numFmtId="164" fontId="6" fillId="2" borderId="14" xfId="0" applyNumberFormat="1" applyFont="1" applyFill="1" applyBorder="1" applyAlignment="1">
      <alignment horizontal="center" vertical="center"/>
    </xf>
    <xf numFmtId="164" fontId="6" fillId="2" borderId="12" xfId="0" applyNumberFormat="1" applyFont="1" applyFill="1" applyBorder="1" applyAlignment="1">
      <alignment horizontal="center" vertical="center"/>
    </xf>
    <xf numFmtId="0" fontId="5" fillId="0" borderId="5" xfId="0" applyFont="1" applyFill="1" applyBorder="1"/>
    <xf numFmtId="0" fontId="5" fillId="0" borderId="0" xfId="0" applyFont="1" applyFill="1" applyBorder="1"/>
    <xf numFmtId="0" fontId="6" fillId="0" borderId="13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17" fontId="6" fillId="0" borderId="11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Continuous" vertical="center"/>
    </xf>
    <xf numFmtId="166" fontId="7" fillId="0" borderId="0" xfId="1" applyNumberFormat="1" applyFill="1"/>
    <xf numFmtId="166" fontId="7" fillId="0" borderId="13" xfId="1" applyNumberFormat="1" applyFill="1" applyBorder="1" applyAlignment="1">
      <alignment horizontal="center" vertical="center"/>
    </xf>
    <xf numFmtId="166" fontId="7" fillId="0" borderId="6" xfId="1" applyNumberFormat="1" applyFill="1" applyBorder="1" applyAlignment="1">
      <alignment horizontal="center"/>
    </xf>
    <xf numFmtId="166" fontId="7" fillId="0" borderId="7" xfId="1" applyNumberFormat="1" applyFill="1" applyBorder="1" applyAlignment="1">
      <alignment horizontal="center"/>
    </xf>
    <xf numFmtId="166" fontId="7" fillId="0" borderId="8" xfId="1" applyNumberFormat="1" applyFill="1" applyBorder="1" applyAlignment="1">
      <alignment horizontal="center"/>
    </xf>
    <xf numFmtId="166" fontId="7" fillId="0" borderId="15" xfId="1" applyNumberFormat="1" applyFill="1" applyBorder="1" applyAlignment="1">
      <alignment horizontal="center"/>
    </xf>
    <xf numFmtId="166" fontId="7" fillId="0" borderId="16" xfId="1" applyNumberFormat="1" applyFill="1" applyBorder="1" applyAlignment="1">
      <alignment horizontal="center"/>
    </xf>
    <xf numFmtId="0" fontId="5" fillId="0" borderId="0" xfId="0" applyFont="1" applyFill="1"/>
    <xf numFmtId="0" fontId="6" fillId="0" borderId="13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17" fontId="6" fillId="2" borderId="13" xfId="0" applyNumberFormat="1" applyFont="1" applyFill="1" applyBorder="1" applyAlignment="1">
      <alignment horizontal="center" vertical="center" wrapText="1"/>
    </xf>
    <xf numFmtId="17" fontId="6" fillId="2" borderId="19" xfId="0" applyNumberFormat="1" applyFont="1" applyFill="1" applyBorder="1" applyAlignment="1">
      <alignment horizontal="center" vertical="center" wrapText="1"/>
    </xf>
    <xf numFmtId="17" fontId="6" fillId="2" borderId="9" xfId="0" applyNumberFormat="1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 vertical="center" wrapText="1"/>
    </xf>
    <xf numFmtId="164" fontId="6" fillId="2" borderId="15" xfId="0" applyNumberFormat="1" applyFont="1" applyFill="1" applyBorder="1" applyAlignment="1">
      <alignment horizontal="center" vertical="center"/>
    </xf>
    <xf numFmtId="164" fontId="6" fillId="2" borderId="16" xfId="0" applyNumberFormat="1" applyFont="1" applyFill="1" applyBorder="1" applyAlignment="1">
      <alignment horizontal="center" vertical="center"/>
    </xf>
    <xf numFmtId="164" fontId="6" fillId="2" borderId="18" xfId="0" applyNumberFormat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9" fontId="8" fillId="0" borderId="0" xfId="3" applyFont="1" applyFill="1"/>
    <xf numFmtId="166" fontId="7" fillId="0" borderId="20" xfId="1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/>
    </xf>
    <xf numFmtId="0" fontId="5" fillId="0" borderId="4" xfId="0" applyFont="1" applyFill="1" applyBorder="1" applyAlignment="1">
      <alignment vertical="center"/>
    </xf>
    <xf numFmtId="0" fontId="9" fillId="0" borderId="10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vertical="center"/>
    </xf>
    <xf numFmtId="3" fontId="10" fillId="0" borderId="22" xfId="0" applyNumberFormat="1" applyFont="1" applyFill="1" applyBorder="1" applyAlignment="1">
      <alignment horizontal="centerContinuous" vertical="center"/>
    </xf>
    <xf numFmtId="3" fontId="10" fillId="0" borderId="23" xfId="0" applyNumberFormat="1" applyFont="1" applyFill="1" applyBorder="1" applyAlignment="1">
      <alignment horizontal="centerContinuous" vertical="center"/>
    </xf>
    <xf numFmtId="41" fontId="5" fillId="0" borderId="24" xfId="2" quotePrefix="1" applyFont="1" applyFill="1" applyBorder="1" applyAlignment="1">
      <alignment horizontal="center" vertical="center"/>
    </xf>
    <xf numFmtId="9" fontId="5" fillId="0" borderId="25" xfId="3" quotePrefix="1" applyFont="1" applyFill="1" applyBorder="1" applyAlignment="1">
      <alignment horizontal="center" vertical="center"/>
    </xf>
    <xf numFmtId="9" fontId="5" fillId="0" borderId="26" xfId="3" quotePrefix="1" applyFont="1" applyFill="1" applyBorder="1" applyAlignment="1">
      <alignment horizontal="center" vertical="center"/>
    </xf>
    <xf numFmtId="164" fontId="5" fillId="0" borderId="26" xfId="1" applyNumberFormat="1" applyFont="1" applyFill="1" applyBorder="1" applyAlignment="1">
      <alignment horizontal="left" vertical="center"/>
    </xf>
    <xf numFmtId="164" fontId="5" fillId="0" borderId="27" xfId="1" applyNumberFormat="1" applyFont="1" applyFill="1" applyBorder="1" applyAlignment="1">
      <alignment horizontal="left" vertical="center"/>
    </xf>
    <xf numFmtId="164" fontId="5" fillId="0" borderId="28" xfId="1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6" fontId="8" fillId="0" borderId="10" xfId="1" applyNumberFormat="1" applyFont="1" applyFill="1" applyBorder="1" applyAlignment="1">
      <alignment vertical="center"/>
    </xf>
    <xf numFmtId="167" fontId="5" fillId="0" borderId="29" xfId="0" applyNumberFormat="1" applyFont="1" applyFill="1" applyBorder="1" applyAlignment="1">
      <alignment horizontal="center" vertical="center"/>
    </xf>
    <xf numFmtId="168" fontId="5" fillId="0" borderId="24" xfId="2" quotePrefix="1" applyNumberFormat="1" applyFont="1" applyFill="1" applyBorder="1" applyAlignment="1">
      <alignment horizontal="center" vertical="center"/>
    </xf>
    <xf numFmtId="167" fontId="5" fillId="0" borderId="26" xfId="0" applyNumberFormat="1" applyFont="1" applyFill="1" applyBorder="1" applyAlignment="1">
      <alignment horizontal="center" vertical="center"/>
    </xf>
    <xf numFmtId="166" fontId="8" fillId="0" borderId="0" xfId="3" applyNumberFormat="1" applyFont="1" applyFill="1" applyAlignment="1">
      <alignment vertical="center"/>
    </xf>
    <xf numFmtId="166" fontId="8" fillId="0" borderId="9" xfId="3" applyNumberFormat="1" applyFont="1" applyFill="1" applyBorder="1" applyAlignment="1">
      <alignment vertical="center"/>
    </xf>
    <xf numFmtId="164" fontId="5" fillId="0" borderId="30" xfId="3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9" fontId="5" fillId="0" borderId="21" xfId="3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3" fontId="10" fillId="0" borderId="32" xfId="0" applyNumberFormat="1" applyFont="1" applyFill="1" applyBorder="1" applyAlignment="1">
      <alignment horizontal="centerContinuous" vertical="center"/>
    </xf>
    <xf numFmtId="3" fontId="10" fillId="0" borderId="33" xfId="0" applyNumberFormat="1" applyFont="1" applyFill="1" applyBorder="1" applyAlignment="1">
      <alignment horizontal="centerContinuous" vertical="center"/>
    </xf>
    <xf numFmtId="41" fontId="5" fillId="0" borderId="34" xfId="2" quotePrefix="1" applyFont="1" applyFill="1" applyBorder="1" applyAlignment="1">
      <alignment horizontal="center" vertical="center"/>
    </xf>
    <xf numFmtId="9" fontId="5" fillId="0" borderId="35" xfId="3" quotePrefix="1" applyFont="1" applyFill="1" applyBorder="1" applyAlignment="1">
      <alignment horizontal="center" vertical="center"/>
    </xf>
    <xf numFmtId="9" fontId="5" fillId="0" borderId="30" xfId="3" quotePrefix="1" applyFont="1" applyFill="1" applyBorder="1" applyAlignment="1">
      <alignment horizontal="center" vertical="center"/>
    </xf>
    <xf numFmtId="164" fontId="5" fillId="0" borderId="30" xfId="1" applyNumberFormat="1" applyFont="1" applyFill="1" applyBorder="1" applyAlignment="1">
      <alignment horizontal="left" vertical="center"/>
    </xf>
    <xf numFmtId="164" fontId="5" fillId="0" borderId="36" xfId="1" applyNumberFormat="1" applyFont="1" applyFill="1" applyBorder="1" applyAlignment="1">
      <alignment horizontal="left" vertical="center"/>
    </xf>
    <xf numFmtId="164" fontId="5" fillId="0" borderId="37" xfId="1" applyNumberFormat="1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vertical="center"/>
    </xf>
    <xf numFmtId="164" fontId="5" fillId="0" borderId="39" xfId="3" applyNumberFormat="1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vertical="center"/>
    </xf>
    <xf numFmtId="9" fontId="8" fillId="0" borderId="0" xfId="3" applyFont="1" applyFill="1" applyAlignment="1">
      <alignment vertical="center"/>
    </xf>
    <xf numFmtId="0" fontId="10" fillId="0" borderId="41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3" fontId="10" fillId="0" borderId="42" xfId="0" applyNumberFormat="1" applyFont="1" applyFill="1" applyBorder="1" applyAlignment="1">
      <alignment horizontal="centerContinuous" vertical="center"/>
    </xf>
    <xf numFmtId="41" fontId="5" fillId="0" borderId="34" xfId="2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vertical="center"/>
    </xf>
    <xf numFmtId="0" fontId="5" fillId="0" borderId="43" xfId="0" applyFont="1" applyFill="1" applyBorder="1" applyAlignment="1">
      <alignment vertical="center"/>
    </xf>
    <xf numFmtId="3" fontId="10" fillId="0" borderId="44" xfId="0" applyNumberFormat="1" applyFont="1" applyFill="1" applyBorder="1" applyAlignment="1">
      <alignment horizontal="centerContinuous" vertical="center"/>
    </xf>
    <xf numFmtId="41" fontId="5" fillId="0" borderId="21" xfId="2" applyFont="1" applyFill="1" applyBorder="1" applyAlignment="1">
      <alignment horizontal="center" vertical="center"/>
    </xf>
    <xf numFmtId="164" fontId="5" fillId="0" borderId="45" xfId="1" applyNumberFormat="1" applyFont="1" applyFill="1" applyBorder="1" applyAlignment="1">
      <alignment horizontal="left" vertical="center"/>
    </xf>
    <xf numFmtId="164" fontId="5" fillId="0" borderId="46" xfId="1" applyNumberFormat="1" applyFont="1" applyFill="1" applyBorder="1" applyAlignment="1">
      <alignment horizontal="center" vertical="center"/>
    </xf>
    <xf numFmtId="9" fontId="5" fillId="0" borderId="39" xfId="3" quotePrefix="1" applyFont="1" applyFill="1" applyBorder="1" applyAlignment="1">
      <alignment horizontal="center" vertical="center"/>
    </xf>
    <xf numFmtId="164" fontId="5" fillId="0" borderId="39" xfId="1" applyNumberFormat="1" applyFont="1" applyFill="1" applyBorder="1" applyAlignment="1">
      <alignment horizontal="left" vertical="center"/>
    </xf>
    <xf numFmtId="3" fontId="10" fillId="0" borderId="47" xfId="0" applyNumberFormat="1" applyFont="1" applyFill="1" applyBorder="1" applyAlignment="1">
      <alignment horizontal="centerContinuous" vertical="center"/>
    </xf>
    <xf numFmtId="3" fontId="10" fillId="0" borderId="48" xfId="0" applyNumberFormat="1" applyFont="1" applyFill="1" applyBorder="1" applyAlignment="1">
      <alignment horizontal="centerContinuous" vertical="center"/>
    </xf>
    <xf numFmtId="9" fontId="5" fillId="0" borderId="0" xfId="3" applyFont="1" applyFill="1" applyBorder="1" applyAlignment="1">
      <alignment horizontal="center" vertical="center"/>
    </xf>
    <xf numFmtId="3" fontId="10" fillId="0" borderId="30" xfId="0" applyNumberFormat="1" applyFont="1" applyFill="1" applyBorder="1" applyAlignment="1">
      <alignment horizontal="centerContinuous" vertical="center"/>
    </xf>
    <xf numFmtId="3" fontId="10" fillId="0" borderId="49" xfId="0" applyNumberFormat="1" applyFont="1" applyFill="1" applyBorder="1" applyAlignment="1">
      <alignment horizontal="centerContinuous" vertical="center"/>
    </xf>
    <xf numFmtId="41" fontId="5" fillId="0" borderId="31" xfId="2" applyFont="1" applyFill="1" applyBorder="1" applyAlignment="1">
      <alignment horizontal="center" vertical="center"/>
    </xf>
    <xf numFmtId="3" fontId="10" fillId="0" borderId="50" xfId="0" applyNumberFormat="1" applyFont="1" applyFill="1" applyBorder="1" applyAlignment="1">
      <alignment horizontal="centerContinuous" vertical="center"/>
    </xf>
    <xf numFmtId="3" fontId="10" fillId="0" borderId="37" xfId="0" applyNumberFormat="1" applyFont="1" applyFill="1" applyBorder="1" applyAlignment="1">
      <alignment horizontal="centerContinuous" vertical="center"/>
    </xf>
    <xf numFmtId="0" fontId="10" fillId="0" borderId="51" xfId="0" applyFont="1" applyFill="1" applyBorder="1" applyAlignment="1">
      <alignment vertical="center"/>
    </xf>
    <xf numFmtId="41" fontId="5" fillId="0" borderId="52" xfId="2" applyFont="1" applyFill="1" applyBorder="1" applyAlignment="1">
      <alignment horizontal="center" vertical="center"/>
    </xf>
    <xf numFmtId="164" fontId="5" fillId="0" borderId="53" xfId="1" applyNumberFormat="1" applyFont="1" applyFill="1" applyBorder="1" applyAlignment="1">
      <alignment horizontal="left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left" vertical="center"/>
    </xf>
    <xf numFmtId="166" fontId="8" fillId="0" borderId="50" xfId="1" applyNumberFormat="1" applyFont="1" applyFill="1" applyBorder="1" applyAlignment="1">
      <alignment horizontal="center" vertical="center"/>
    </xf>
    <xf numFmtId="166" fontId="8" fillId="0" borderId="49" xfId="1" applyNumberFormat="1" applyFont="1" applyFill="1" applyBorder="1" applyAlignment="1">
      <alignment horizontal="center" vertical="center"/>
    </xf>
    <xf numFmtId="41" fontId="5" fillId="0" borderId="49" xfId="2" applyFont="1" applyFill="1" applyBorder="1" applyAlignment="1" applyProtection="1">
      <alignment horizontal="right" vertical="center"/>
    </xf>
    <xf numFmtId="41" fontId="5" fillId="0" borderId="31" xfId="2" applyFont="1" applyFill="1" applyBorder="1" applyAlignment="1" applyProtection="1">
      <alignment horizontal="right" vertical="center"/>
    </xf>
    <xf numFmtId="166" fontId="8" fillId="0" borderId="31" xfId="1" applyNumberFormat="1" applyFont="1" applyFill="1" applyBorder="1" applyAlignment="1" applyProtection="1">
      <alignment horizontal="right" vertical="center"/>
    </xf>
    <xf numFmtId="166" fontId="8" fillId="0" borderId="30" xfId="1" applyNumberFormat="1" applyFont="1" applyFill="1" applyBorder="1" applyAlignment="1" applyProtection="1">
      <alignment horizontal="right" vertical="center"/>
    </xf>
    <xf numFmtId="166" fontId="8" fillId="0" borderId="0" xfId="1" applyNumberFormat="1" applyFont="1" applyFill="1" applyBorder="1" applyAlignment="1">
      <alignment vertical="center"/>
    </xf>
    <xf numFmtId="167" fontId="5" fillId="0" borderId="0" xfId="0" applyNumberFormat="1" applyFont="1" applyFill="1" applyBorder="1" applyAlignment="1">
      <alignment horizontal="center" vertical="center"/>
    </xf>
    <xf numFmtId="166" fontId="8" fillId="0" borderId="0" xfId="1" applyNumberFormat="1" applyFont="1" applyFill="1" applyBorder="1" applyAlignment="1" applyProtection="1">
      <alignment horizontal="right" vertical="center"/>
    </xf>
    <xf numFmtId="164" fontId="5" fillId="0" borderId="0" xfId="3" applyNumberFormat="1" applyFont="1" applyFill="1" applyBorder="1" applyAlignment="1">
      <alignment horizontal="center" vertical="center"/>
    </xf>
    <xf numFmtId="166" fontId="8" fillId="0" borderId="0" xfId="3" applyNumberFormat="1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167" fontId="12" fillId="0" borderId="55" xfId="0" applyNumberFormat="1" applyFont="1" applyFill="1" applyBorder="1" applyAlignment="1">
      <alignment horizontal="left" vertical="center"/>
    </xf>
    <xf numFmtId="0" fontId="5" fillId="0" borderId="30" xfId="0" applyFont="1" applyFill="1" applyBorder="1" applyAlignment="1">
      <alignment vertical="center"/>
    </xf>
    <xf numFmtId="164" fontId="8" fillId="0" borderId="30" xfId="1" applyNumberFormat="1" applyFont="1" applyFill="1" applyBorder="1" applyAlignment="1">
      <alignment horizontal="center" vertical="center"/>
    </xf>
    <xf numFmtId="164" fontId="8" fillId="0" borderId="49" xfId="1" applyNumberFormat="1" applyFont="1" applyFill="1" applyBorder="1" applyAlignment="1">
      <alignment horizontal="center" vertical="center"/>
    </xf>
    <xf numFmtId="41" fontId="5" fillId="0" borderId="37" xfId="2" applyFont="1" applyFill="1" applyBorder="1" applyAlignment="1">
      <alignment horizontal="center" vertical="center"/>
    </xf>
    <xf numFmtId="41" fontId="5" fillId="0" borderId="55" xfId="2" applyFont="1" applyFill="1" applyBorder="1" applyAlignment="1">
      <alignment horizontal="center" vertical="center"/>
    </xf>
    <xf numFmtId="41" fontId="5" fillId="0" borderId="50" xfId="2" applyFont="1" applyFill="1" applyBorder="1" applyAlignment="1">
      <alignment horizontal="center" vertical="center"/>
    </xf>
    <xf numFmtId="41" fontId="5" fillId="0" borderId="36" xfId="2" applyFont="1" applyFill="1" applyBorder="1" applyAlignment="1">
      <alignment horizontal="center" vertical="center"/>
    </xf>
    <xf numFmtId="41" fontId="5" fillId="0" borderId="37" xfId="2" applyFont="1" applyFill="1" applyBorder="1" applyAlignment="1">
      <alignment horizontal="center" vertical="center"/>
    </xf>
    <xf numFmtId="41" fontId="5" fillId="0" borderId="36" xfId="2" applyFont="1" applyFill="1" applyBorder="1" applyAlignment="1">
      <alignment horizontal="center" vertical="center"/>
    </xf>
    <xf numFmtId="167" fontId="5" fillId="0" borderId="0" xfId="0" applyNumberFormat="1" applyFont="1" applyFill="1" applyBorder="1" applyAlignment="1">
      <alignment vertical="center"/>
    </xf>
    <xf numFmtId="41" fontId="5" fillId="0" borderId="36" xfId="2" applyFont="1" applyFill="1" applyBorder="1" applyAlignment="1" applyProtection="1">
      <alignment horizontal="right" vertical="center"/>
    </xf>
    <xf numFmtId="0" fontId="0" fillId="0" borderId="11" xfId="0" applyFont="1" applyFill="1" applyBorder="1"/>
    <xf numFmtId="0" fontId="0" fillId="0" borderId="14" xfId="0" applyFont="1" applyFill="1" applyBorder="1"/>
    <xf numFmtId="164" fontId="0" fillId="0" borderId="14" xfId="0" applyNumberFormat="1" applyFont="1" applyFill="1" applyBorder="1"/>
    <xf numFmtId="164" fontId="0" fillId="0" borderId="11" xfId="0" applyNumberFormat="1" applyFont="1" applyFill="1" applyBorder="1"/>
    <xf numFmtId="164" fontId="0" fillId="0" borderId="12" xfId="0" applyNumberFormat="1" applyFont="1" applyFill="1" applyBorder="1"/>
    <xf numFmtId="0" fontId="0" fillId="0" borderId="4" xfId="0" applyFill="1" applyBorder="1"/>
    <xf numFmtId="0" fontId="0" fillId="0" borderId="54" xfId="0" applyFont="1" applyFill="1" applyBorder="1"/>
    <xf numFmtId="164" fontId="0" fillId="0" borderId="54" xfId="0" applyNumberFormat="1" applyFont="1" applyFill="1" applyBorder="1"/>
    <xf numFmtId="164" fontId="0" fillId="0" borderId="56" xfId="0" applyNumberFormat="1" applyFont="1" applyFill="1" applyBorder="1"/>
    <xf numFmtId="164" fontId="0" fillId="0" borderId="0" xfId="0" applyNumberFormat="1" applyFill="1"/>
    <xf numFmtId="9" fontId="0" fillId="0" borderId="0" xfId="3" applyFont="1" applyFill="1" applyBorder="1"/>
    <xf numFmtId="0" fontId="0" fillId="0" borderId="15" xfId="0" applyFont="1" applyFill="1" applyBorder="1"/>
    <xf numFmtId="0" fontId="0" fillId="0" borderId="16" xfId="0" applyFont="1" applyFill="1" applyBorder="1"/>
    <xf numFmtId="164" fontId="0" fillId="0" borderId="16" xfId="0" applyNumberFormat="1" applyFont="1" applyFill="1" applyBorder="1"/>
    <xf numFmtId="164" fontId="0" fillId="0" borderId="15" xfId="0" applyNumberFormat="1" applyFont="1" applyFill="1" applyBorder="1"/>
    <xf numFmtId="164" fontId="0" fillId="0" borderId="18" xfId="0" applyNumberFormat="1" applyFont="1" applyFill="1" applyBorder="1"/>
    <xf numFmtId="164" fontId="0" fillId="0" borderId="0" xfId="0" applyNumberFormat="1" applyFont="1" applyFill="1"/>
    <xf numFmtId="0" fontId="0" fillId="0" borderId="57" xfId="0" applyFill="1" applyBorder="1"/>
    <xf numFmtId="0" fontId="0" fillId="0" borderId="58" xfId="0" applyFont="1" applyFill="1" applyBorder="1"/>
    <xf numFmtId="164" fontId="0" fillId="0" borderId="58" xfId="0" applyNumberFormat="1" applyFont="1" applyFill="1" applyBorder="1"/>
    <xf numFmtId="0" fontId="0" fillId="0" borderId="59" xfId="0" applyFont="1" applyFill="1" applyBorder="1"/>
    <xf numFmtId="3" fontId="5" fillId="0" borderId="0" xfId="0" applyNumberFormat="1" applyFont="1" applyFill="1"/>
    <xf numFmtId="164" fontId="0" fillId="0" borderId="0" xfId="0" applyNumberFormat="1"/>
    <xf numFmtId="0" fontId="13" fillId="0" borderId="0" xfId="0" applyFont="1" applyFill="1" applyBorder="1"/>
    <xf numFmtId="166" fontId="14" fillId="0" borderId="26" xfId="1" quotePrefix="1" applyNumberFormat="1" applyFont="1" applyFill="1" applyBorder="1" applyAlignment="1">
      <alignment horizontal="center" vertical="center"/>
    </xf>
    <xf numFmtId="166" fontId="14" fillId="0" borderId="30" xfId="1" quotePrefix="1" applyNumberFormat="1" applyFont="1" applyFill="1" applyBorder="1" applyAlignment="1">
      <alignment horizontal="center" vertical="center"/>
    </xf>
    <xf numFmtId="166" fontId="14" fillId="0" borderId="39" xfId="1" quotePrefix="1" applyNumberFormat="1" applyFont="1" applyFill="1" applyBorder="1" applyAlignment="1">
      <alignment horizontal="center" vertical="center"/>
    </xf>
    <xf numFmtId="166" fontId="14" fillId="0" borderId="53" xfId="1" quotePrefix="1" applyNumberFormat="1" applyFont="1" applyFill="1" applyBorder="1" applyAlignment="1">
      <alignment horizontal="center" vertical="center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</xdr:colOff>
      <xdr:row>0</xdr:row>
      <xdr:rowOff>38100</xdr:rowOff>
    </xdr:from>
    <xdr:to>
      <xdr:col>3</xdr:col>
      <xdr:colOff>756557</xdr:colOff>
      <xdr:row>2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417"/>
        <a:stretch>
          <a:fillRect/>
        </a:stretch>
      </xdr:blipFill>
      <xdr:spPr bwMode="auto">
        <a:xfrm>
          <a:off x="152400" y="38100"/>
          <a:ext cx="2340428" cy="310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8.%20Data%20Supplier\SUPPLIER\Yong%20Sin%20stamping\Quotation\Pengajuan%20Perubahan%20Harga%20material%20Maret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 (2)"/>
      <sheetName val="MTM"/>
      <sheetName val="komparasi material"/>
      <sheetName val="komparasi mat &amp; die"/>
    </sheetNames>
    <sheetDataSet>
      <sheetData sheetId="0"/>
      <sheetData sheetId="1"/>
      <sheetData sheetId="2">
        <row r="22">
          <cell r="T22">
            <v>3078.2608695652175</v>
          </cell>
          <cell r="Z22">
            <v>9.8620422898401186E-2</v>
          </cell>
        </row>
        <row r="24">
          <cell r="T24">
            <v>3397.9347826086955</v>
          </cell>
          <cell r="Z24">
            <v>9.9857583669594074E-2</v>
          </cell>
        </row>
        <row r="26">
          <cell r="T26">
            <v>2846.7391304347825</v>
          </cell>
          <cell r="Z26">
            <v>8.193991616208661E-2</v>
          </cell>
        </row>
        <row r="28">
          <cell r="T28">
            <v>3108.0434782608695</v>
          </cell>
          <cell r="Z28">
            <v>8.2853119584055418E-2</v>
          </cell>
        </row>
        <row r="30">
          <cell r="T30">
            <v>4761.5625</v>
          </cell>
          <cell r="Z30">
            <v>8.8347260909934999E-2</v>
          </cell>
        </row>
        <row r="32">
          <cell r="T32">
            <v>5298.0750000000007</v>
          </cell>
          <cell r="Z32">
            <v>8.9867392043522593E-2</v>
          </cell>
        </row>
        <row r="34">
          <cell r="T34">
            <v>5746.3874999999998</v>
          </cell>
          <cell r="Z34">
            <v>9.0527974783293941E-2</v>
          </cell>
        </row>
        <row r="36">
          <cell r="T36">
            <v>6174.2249999999995</v>
          </cell>
          <cell r="Z36">
            <v>9.5189030058878202E-2</v>
          </cell>
        </row>
        <row r="38">
          <cell r="T38">
            <v>1055.4347826086955</v>
          </cell>
          <cell r="Z38">
            <v>6.6251830161054168E-2</v>
          </cell>
        </row>
        <row r="40">
          <cell r="T40">
            <v>2184.100418410042</v>
          </cell>
          <cell r="Z40">
            <v>4.5942116980368347E-2</v>
          </cell>
        </row>
        <row r="42">
          <cell r="T42">
            <v>3802.3012552301257</v>
          </cell>
          <cell r="Z42">
            <v>9.6715328467153291E-2</v>
          </cell>
        </row>
        <row r="44">
          <cell r="M44">
            <v>5552.2</v>
          </cell>
          <cell r="T44">
            <v>4232.5506072874496</v>
          </cell>
          <cell r="Z44">
            <v>8.9781176970469501E-2</v>
          </cell>
        </row>
        <row r="46">
          <cell r="M46">
            <v>6114.7</v>
          </cell>
          <cell r="T46">
            <v>4690.5668016194331</v>
          </cell>
          <cell r="Z46">
            <v>9.1363636363636341E-2</v>
          </cell>
        </row>
        <row r="48">
          <cell r="T48">
            <v>2372.4782608695655</v>
          </cell>
          <cell r="Z48">
            <v>9.1761677087164401E-2</v>
          </cell>
        </row>
        <row r="50">
          <cell r="T50">
            <v>4088.5714285714289</v>
          </cell>
          <cell r="Z50">
            <v>0.11042558549483757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U86"/>
  <sheetViews>
    <sheetView showGridLines="0" tabSelected="1" topLeftCell="E1" zoomScale="115" zoomScaleNormal="115" zoomScaleSheetLayoutView="100" workbookViewId="0">
      <selection activeCell="T9" sqref="T9"/>
    </sheetView>
  </sheetViews>
  <sheetFormatPr defaultRowHeight="12.45"/>
  <cols>
    <col min="1" max="1" width="1.84375" style="7" customWidth="1"/>
    <col min="2" max="2" width="4.84375" style="7" customWidth="1"/>
    <col min="3" max="3" width="17.84375" style="7" customWidth="1"/>
    <col min="4" max="4" width="16.69140625" style="7" customWidth="1"/>
    <col min="5" max="5" width="6.53515625" style="7" customWidth="1"/>
    <col min="6" max="6" width="2.3828125" style="7" customWidth="1"/>
    <col min="7" max="7" width="11.53515625" style="172" customWidth="1"/>
    <col min="8" max="8" width="11.3828125" style="172" customWidth="1"/>
    <col min="9" max="9" width="6.53515625" style="172" customWidth="1"/>
    <col min="10" max="11" width="5.69140625" style="172" customWidth="1"/>
    <col min="12" max="12" width="6.53515625" style="172" customWidth="1"/>
    <col min="13" max="14" width="5.69140625" style="172" customWidth="1"/>
    <col min="15" max="15" width="6.53515625" style="172" customWidth="1"/>
    <col min="16" max="17" width="5.69140625" style="172" customWidth="1"/>
    <col min="18" max="19" width="7.3828125" style="172" customWidth="1"/>
    <col min="20" max="20" width="9.3828125" style="172" customWidth="1"/>
    <col min="21" max="21" width="6.53515625" style="172" customWidth="1"/>
    <col min="22" max="22" width="3.69140625" style="172" customWidth="1"/>
    <col min="23" max="25" width="0.84375" style="7" customWidth="1"/>
    <col min="26" max="26" width="10" style="7" bestFit="1" customWidth="1"/>
    <col min="27" max="27" width="15.3046875" style="7" bestFit="1" customWidth="1"/>
    <col min="28" max="28" width="24" style="7" bestFit="1" customWidth="1"/>
    <col min="29" max="31" width="7.69140625" style="172" customWidth="1"/>
    <col min="32" max="32" width="8.3046875" style="7" bestFit="1" customWidth="1"/>
    <col min="33" max="41" width="18.69140625" style="7" customWidth="1"/>
  </cols>
  <sheetData>
    <row r="1" spans="1:43" s="7" customFormat="1" ht="12.9" thickTop="1">
      <c r="A1" s="1"/>
      <c r="B1" s="2"/>
      <c r="C1" s="2"/>
      <c r="D1" s="2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6"/>
      <c r="Y1" s="6"/>
      <c r="Z1" s="6"/>
      <c r="AA1" s="6"/>
      <c r="AB1" s="6"/>
      <c r="AC1" s="4"/>
      <c r="AD1" s="4"/>
      <c r="AE1" s="4"/>
      <c r="AF1" s="6"/>
    </row>
    <row r="2" spans="1:43" s="7" customFormat="1" ht="14.6">
      <c r="A2" s="8"/>
      <c r="B2" s="9"/>
      <c r="C2" s="9"/>
      <c r="D2" s="9"/>
      <c r="E2" s="10" t="s">
        <v>0</v>
      </c>
      <c r="F2" s="11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2"/>
      <c r="U2" s="13"/>
      <c r="V2" s="13"/>
      <c r="W2" s="14"/>
      <c r="X2" s="6"/>
      <c r="Y2" s="6"/>
      <c r="Z2" s="6"/>
      <c r="AA2" s="6"/>
      <c r="AB2" s="6"/>
      <c r="AC2" s="10"/>
      <c r="AD2" s="10"/>
      <c r="AE2" s="10"/>
      <c r="AF2" s="6"/>
    </row>
    <row r="3" spans="1:43" s="7" customFormat="1" ht="16.5" customHeight="1">
      <c r="A3" s="8"/>
      <c r="B3" s="15" t="s">
        <v>1</v>
      </c>
      <c r="C3" s="9"/>
      <c r="D3" s="9"/>
      <c r="E3" s="10" t="s">
        <v>2</v>
      </c>
      <c r="F3" s="1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7"/>
      <c r="U3" s="18"/>
      <c r="V3" s="18"/>
      <c r="W3" s="19"/>
      <c r="X3" s="9"/>
      <c r="Y3" s="9"/>
      <c r="Z3" s="9"/>
      <c r="AA3" s="9"/>
      <c r="AB3" s="9"/>
      <c r="AC3" s="10"/>
      <c r="AD3" s="10"/>
      <c r="AE3" s="10"/>
      <c r="AF3" s="9"/>
      <c r="AG3" s="20"/>
      <c r="AH3" s="20"/>
      <c r="AI3" s="20"/>
      <c r="AJ3" s="20"/>
      <c r="AK3" s="20"/>
      <c r="AL3" s="20"/>
      <c r="AM3" s="20"/>
      <c r="AN3" s="20"/>
      <c r="AO3" s="20"/>
    </row>
    <row r="4" spans="1:43" s="7" customFormat="1" ht="10.5" customHeight="1">
      <c r="A4" s="8"/>
      <c r="B4" s="15"/>
      <c r="C4" s="9"/>
      <c r="D4" s="21"/>
      <c r="E4" s="22" t="s">
        <v>3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17"/>
      <c r="U4" s="18"/>
      <c r="V4" s="18"/>
      <c r="W4" s="19"/>
      <c r="X4" s="9"/>
      <c r="Y4" s="9"/>
      <c r="Z4" s="9"/>
      <c r="AA4" s="9"/>
      <c r="AB4" s="9"/>
      <c r="AC4" s="22"/>
      <c r="AD4" s="22"/>
      <c r="AE4" s="22"/>
      <c r="AF4" s="9"/>
      <c r="AG4" s="20"/>
      <c r="AH4" s="20"/>
      <c r="AI4" s="20"/>
      <c r="AJ4" s="20"/>
      <c r="AK4" s="20"/>
      <c r="AL4" s="20"/>
      <c r="AM4" s="20"/>
      <c r="AN4" s="20"/>
      <c r="AO4" s="20"/>
    </row>
    <row r="5" spans="1:43" s="34" customFormat="1" ht="17.149999999999999" customHeight="1">
      <c r="A5" s="23"/>
      <c r="B5" s="24" t="s">
        <v>4</v>
      </c>
      <c r="C5" s="25"/>
      <c r="D5" s="25"/>
      <c r="E5" s="26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30"/>
      <c r="V5" s="31" t="s">
        <v>5</v>
      </c>
      <c r="W5" s="32"/>
      <c r="X5" s="27"/>
      <c r="Y5" s="27"/>
      <c r="Z5" s="27"/>
      <c r="AA5" s="27"/>
      <c r="AB5" s="27"/>
      <c r="AC5" s="28"/>
      <c r="AD5" s="28"/>
      <c r="AE5" s="28"/>
      <c r="AF5" s="27"/>
      <c r="AG5" s="33"/>
      <c r="AH5" s="33"/>
      <c r="AJ5" s="33"/>
      <c r="AK5" s="33"/>
      <c r="AL5" s="33"/>
      <c r="AM5" s="33"/>
      <c r="AN5" s="33"/>
      <c r="AO5" s="33"/>
    </row>
    <row r="6" spans="1:43" s="7" customFormat="1" ht="7.5" customHeight="1">
      <c r="A6" s="8"/>
      <c r="B6" s="9"/>
      <c r="C6" s="9"/>
      <c r="D6" s="9"/>
      <c r="E6" s="9"/>
      <c r="F6" s="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18"/>
      <c r="U6" s="18"/>
      <c r="V6" s="18"/>
      <c r="W6" s="19"/>
      <c r="X6" s="9"/>
      <c r="Y6" s="9"/>
      <c r="Z6" s="9"/>
      <c r="AA6" s="9"/>
      <c r="AB6" s="9"/>
      <c r="AC6" s="28"/>
      <c r="AD6" s="28"/>
      <c r="AE6" s="28"/>
      <c r="AF6" s="9"/>
      <c r="AG6" s="20"/>
      <c r="AH6" s="20"/>
      <c r="AI6" s="20"/>
      <c r="AJ6" s="20"/>
      <c r="AK6" s="20"/>
      <c r="AL6" s="20"/>
      <c r="AM6" s="20"/>
      <c r="AN6" s="20"/>
      <c r="AO6" s="20"/>
    </row>
    <row r="7" spans="1:43" s="58" customFormat="1" ht="16.5" customHeight="1">
      <c r="A7" s="35"/>
      <c r="B7" s="36" t="s">
        <v>6</v>
      </c>
      <c r="C7" s="36" t="s">
        <v>7</v>
      </c>
      <c r="D7" s="36" t="s">
        <v>8</v>
      </c>
      <c r="E7" s="37" t="s">
        <v>9</v>
      </c>
      <c r="F7" s="38"/>
      <c r="G7" s="39" t="s">
        <v>10</v>
      </c>
      <c r="H7" s="39"/>
      <c r="I7" s="40" t="s">
        <v>11</v>
      </c>
      <c r="J7" s="40"/>
      <c r="K7" s="40"/>
      <c r="L7" s="40" t="s">
        <v>12</v>
      </c>
      <c r="M7" s="40"/>
      <c r="N7" s="40"/>
      <c r="O7" s="40" t="s">
        <v>13</v>
      </c>
      <c r="P7" s="40"/>
      <c r="Q7" s="40"/>
      <c r="R7" s="41" t="s">
        <v>14</v>
      </c>
      <c r="S7" s="40"/>
      <c r="T7" s="42" t="s">
        <v>15</v>
      </c>
      <c r="U7" s="43"/>
      <c r="V7" s="44"/>
      <c r="W7" s="45"/>
      <c r="X7" s="46"/>
      <c r="Y7" s="46"/>
      <c r="Z7" s="47" t="s">
        <v>9</v>
      </c>
      <c r="AA7" s="48" t="str">
        <f>G8</f>
        <v>Des 2019</v>
      </c>
      <c r="AB7" s="49">
        <f>H8</f>
        <v>43831</v>
      </c>
      <c r="AC7" s="40" t="s">
        <v>11</v>
      </c>
      <c r="AD7" s="40" t="s">
        <v>12</v>
      </c>
      <c r="AE7" s="40" t="s">
        <v>12</v>
      </c>
      <c r="AF7" s="50" t="s">
        <v>16</v>
      </c>
      <c r="AG7" s="51" t="e">
        <f>#REF!*E9*2</f>
        <v>#REF!</v>
      </c>
      <c r="AH7" s="52" t="s">
        <v>8</v>
      </c>
      <c r="AI7" s="53" t="s">
        <v>17</v>
      </c>
      <c r="AJ7" s="54"/>
      <c r="AK7" s="55"/>
      <c r="AL7" s="56" t="s">
        <v>18</v>
      </c>
      <c r="AM7" s="57"/>
      <c r="AN7" s="57"/>
      <c r="AO7" s="51"/>
      <c r="AQ7" s="59" t="s">
        <v>19</v>
      </c>
    </row>
    <row r="8" spans="1:43" s="58" customFormat="1" ht="22.5" customHeight="1">
      <c r="A8" s="35"/>
      <c r="B8" s="60"/>
      <c r="C8" s="60"/>
      <c r="D8" s="60"/>
      <c r="E8" s="61"/>
      <c r="F8" s="62"/>
      <c r="G8" s="63" t="s">
        <v>20</v>
      </c>
      <c r="H8" s="64">
        <v>43831</v>
      </c>
      <c r="I8" s="65" t="s">
        <v>21</v>
      </c>
      <c r="J8" s="66" t="s">
        <v>22</v>
      </c>
      <c r="K8" s="66" t="s">
        <v>23</v>
      </c>
      <c r="L8" s="65" t="s">
        <v>21</v>
      </c>
      <c r="M8" s="66" t="s">
        <v>22</v>
      </c>
      <c r="N8" s="66" t="s">
        <v>23</v>
      </c>
      <c r="O8" s="65" t="s">
        <v>21</v>
      </c>
      <c r="P8" s="66" t="s">
        <v>22</v>
      </c>
      <c r="Q8" s="66" t="s">
        <v>23</v>
      </c>
      <c r="R8" s="67" t="s">
        <v>70</v>
      </c>
      <c r="S8" s="67" t="s">
        <v>69</v>
      </c>
      <c r="T8" s="68"/>
      <c r="U8" s="69"/>
      <c r="V8" s="70"/>
      <c r="W8" s="45"/>
      <c r="X8" s="46"/>
      <c r="Y8" s="46"/>
      <c r="Z8" s="71"/>
      <c r="AA8" s="72"/>
      <c r="AB8" s="72"/>
      <c r="AC8" s="65" t="s">
        <v>21</v>
      </c>
      <c r="AD8" s="65" t="s">
        <v>21</v>
      </c>
      <c r="AE8" s="65" t="s">
        <v>21</v>
      </c>
      <c r="AF8" s="73" t="s">
        <v>25</v>
      </c>
      <c r="AG8" s="74"/>
      <c r="AH8" s="75"/>
      <c r="AI8" s="76" t="s">
        <v>26</v>
      </c>
      <c r="AJ8" s="76" t="s">
        <v>27</v>
      </c>
      <c r="AK8" s="76" t="s">
        <v>28</v>
      </c>
      <c r="AL8" s="76" t="s">
        <v>26</v>
      </c>
      <c r="AM8" s="76" t="s">
        <v>27</v>
      </c>
      <c r="AN8" s="76" t="s">
        <v>28</v>
      </c>
      <c r="AO8" s="74"/>
      <c r="AQ8" s="77" t="s">
        <v>29</v>
      </c>
    </row>
    <row r="9" spans="1:43" s="98" customFormat="1" ht="17.25" customHeight="1">
      <c r="A9" s="78"/>
      <c r="B9" s="79">
        <v>1</v>
      </c>
      <c r="C9" s="80" t="s">
        <v>30</v>
      </c>
      <c r="D9" s="80" t="s">
        <v>31</v>
      </c>
      <c r="E9" s="81">
        <v>62398.714285714283</v>
      </c>
      <c r="F9" s="82"/>
      <c r="G9" s="83">
        <v>4836</v>
      </c>
      <c r="H9" s="83">
        <v>4213</v>
      </c>
      <c r="I9" s="83">
        <v>5054.3999999999996</v>
      </c>
      <c r="J9" s="83">
        <f>I9-H9</f>
        <v>841.39999999999964</v>
      </c>
      <c r="K9" s="84">
        <f>J9/I9</f>
        <v>0.16646881924659696</v>
      </c>
      <c r="L9" s="83">
        <f>'[1]komparasi material'!$T$24</f>
        <v>3397.9347826086955</v>
      </c>
      <c r="M9" s="83">
        <f>L9-H9</f>
        <v>-815.06521739130449</v>
      </c>
      <c r="N9" s="84">
        <f>M9/L9</f>
        <v>-0.23987076549054737</v>
      </c>
      <c r="O9" s="83">
        <f>'[1]komparasi material'!$Z$24</f>
        <v>9.9857583669594074E-2</v>
      </c>
      <c r="P9" s="83">
        <f>O9-H9</f>
        <v>-4212.9001424163307</v>
      </c>
      <c r="Q9" s="84">
        <f>P9/O9</f>
        <v>-42189.085571666292</v>
      </c>
      <c r="R9" s="85" t="s">
        <v>24</v>
      </c>
      <c r="S9" s="187">
        <f>I9</f>
        <v>5054.3999999999996</v>
      </c>
      <c r="T9" s="86"/>
      <c r="U9" s="87"/>
      <c r="V9" s="88"/>
      <c r="W9" s="89"/>
      <c r="X9" s="90"/>
      <c r="Y9" s="90"/>
      <c r="Z9" s="91">
        <f t="shared" ref="Z9:Z19" si="0">E9</f>
        <v>62398.714285714283</v>
      </c>
      <c r="AA9" s="92">
        <f t="shared" ref="AA9:AA20" si="1">E9*G9</f>
        <v>301760182.28571427</v>
      </c>
      <c r="AB9" s="92">
        <f t="shared" ref="AB9:AB19" si="2">E9*H9</f>
        <v>262885783.28571427</v>
      </c>
      <c r="AC9" s="93">
        <f>I9*E9</f>
        <v>315388061.48571426</v>
      </c>
      <c r="AD9" s="93">
        <f>L9*E9</f>
        <v>212026761.66149068</v>
      </c>
      <c r="AE9" s="93">
        <f>O9*E9</f>
        <v>6230.9848326608089</v>
      </c>
      <c r="AF9" s="94">
        <f>AE9-AD9</f>
        <v>-212020530.676658</v>
      </c>
      <c r="AG9" s="95" t="e">
        <f>#REF!-#REF!</f>
        <v>#REF!</v>
      </c>
      <c r="AH9" s="96" t="str">
        <f t="shared" ref="AH9:AH19" si="3">D9</f>
        <v>LOWER ARM, D01N</v>
      </c>
      <c r="AI9" s="97" t="e">
        <f>#REF!</f>
        <v>#REF!</v>
      </c>
      <c r="AJ9" s="76">
        <v>6000</v>
      </c>
      <c r="AK9" s="76" t="e">
        <f>AI9*AJ9</f>
        <v>#REF!</v>
      </c>
      <c r="AL9" s="97" t="e">
        <f>#REF!</f>
        <v>#REF!</v>
      </c>
      <c r="AM9" s="76">
        <f>AJ9</f>
        <v>6000</v>
      </c>
      <c r="AN9" s="76" t="e">
        <f>AL9*AM9</f>
        <v>#REF!</v>
      </c>
      <c r="AO9" s="95"/>
      <c r="AQ9" s="99" t="e">
        <f>(#REF!-#REF!)/#REF!</f>
        <v>#REF!</v>
      </c>
    </row>
    <row r="10" spans="1:43" s="98" customFormat="1" ht="17.25" customHeight="1">
      <c r="A10" s="78"/>
      <c r="B10" s="100">
        <v>2</v>
      </c>
      <c r="C10" s="80" t="s">
        <v>32</v>
      </c>
      <c r="D10" s="80" t="s">
        <v>33</v>
      </c>
      <c r="E10" s="101">
        <v>62398.714285714283</v>
      </c>
      <c r="F10" s="102"/>
      <c r="G10" s="103">
        <v>4464</v>
      </c>
      <c r="H10" s="103">
        <v>3878</v>
      </c>
      <c r="I10" s="103">
        <v>4642.8999999999996</v>
      </c>
      <c r="J10" s="103">
        <f t="shared" ref="J10:J23" si="4">I10-H10</f>
        <v>764.89999999999964</v>
      </c>
      <c r="K10" s="104">
        <f t="shared" ref="K10:K23" si="5">J10/I10</f>
        <v>0.16474617157380078</v>
      </c>
      <c r="L10" s="103">
        <f>'[1]komparasi material'!$T$22</f>
        <v>3078.2608695652175</v>
      </c>
      <c r="M10" s="103">
        <f t="shared" ref="M10:M23" si="6">L10-H10</f>
        <v>-799.73913043478251</v>
      </c>
      <c r="N10" s="104">
        <f t="shared" ref="N10:N23" si="7">M10/L10</f>
        <v>-0.25980225988700562</v>
      </c>
      <c r="O10" s="103">
        <f>'[1]komparasi material'!$Z$22</f>
        <v>9.8620422898401186E-2</v>
      </c>
      <c r="P10" s="103">
        <f>O10-H10</f>
        <v>-3877.9013795771016</v>
      </c>
      <c r="Q10" s="104">
        <f t="shared" ref="Q10:Q23" si="8">P10/O10</f>
        <v>-39321.483984834638</v>
      </c>
      <c r="R10" s="105" t="s">
        <v>24</v>
      </c>
      <c r="S10" s="188">
        <f t="shared" ref="S10:S23" si="9">I10</f>
        <v>4642.8999999999996</v>
      </c>
      <c r="T10" s="106"/>
      <c r="U10" s="107"/>
      <c r="V10" s="108"/>
      <c r="W10" s="109"/>
      <c r="X10" s="90"/>
      <c r="Y10" s="90"/>
      <c r="Z10" s="91">
        <f t="shared" si="0"/>
        <v>62398.714285714283</v>
      </c>
      <c r="AA10" s="92">
        <f t="shared" si="1"/>
        <v>278547860.57142854</v>
      </c>
      <c r="AB10" s="92">
        <f t="shared" si="2"/>
        <v>241982214</v>
      </c>
      <c r="AC10" s="93">
        <f t="shared" ref="AC10:AC23" si="10">I10*E10</f>
        <v>289710990.55714279</v>
      </c>
      <c r="AD10" s="93">
        <f t="shared" ref="AD10:AD23" si="11">L10*E10</f>
        <v>192079520.49689442</v>
      </c>
      <c r="AE10" s="93">
        <f t="shared" ref="AE10:AE23" si="12">O10*E10</f>
        <v>6153.7875911736501</v>
      </c>
      <c r="AF10" s="110">
        <f t="shared" ref="AF10:AF19" si="13">AE10-AD10</f>
        <v>-192073366.70930326</v>
      </c>
      <c r="AG10" s="95"/>
      <c r="AH10" s="96" t="str">
        <f t="shared" si="3"/>
        <v>UPPER ARM, D01N</v>
      </c>
      <c r="AI10" s="97" t="e">
        <f>#REF!</f>
        <v>#REF!</v>
      </c>
      <c r="AJ10" s="76">
        <v>3000</v>
      </c>
      <c r="AK10" s="76" t="e">
        <f t="shared" ref="AK10:AK19" si="14">AI10*AJ10</f>
        <v>#REF!</v>
      </c>
      <c r="AL10" s="97" t="e">
        <f>#REF!</f>
        <v>#REF!</v>
      </c>
      <c r="AM10" s="76">
        <f t="shared" ref="AM10:AM19" si="15">AJ10</f>
        <v>3000</v>
      </c>
      <c r="AN10" s="76" t="e">
        <f t="shared" ref="AN10:AN19" si="16">AL10*AM10</f>
        <v>#REF!</v>
      </c>
      <c r="AO10" s="95"/>
      <c r="AQ10" s="99"/>
    </row>
    <row r="11" spans="1:43" s="98" customFormat="1" ht="17.25" customHeight="1">
      <c r="A11" s="78"/>
      <c r="B11" s="100">
        <v>3</v>
      </c>
      <c r="C11" s="80" t="s">
        <v>34</v>
      </c>
      <c r="D11" s="80" t="s">
        <v>35</v>
      </c>
      <c r="E11" s="101">
        <v>20000</v>
      </c>
      <c r="F11" s="102"/>
      <c r="G11" s="103">
        <v>4616</v>
      </c>
      <c r="H11" s="103">
        <f t="shared" ref="H11:H16" si="17">G11</f>
        <v>4616</v>
      </c>
      <c r="I11" s="103">
        <v>5380.9</v>
      </c>
      <c r="J11" s="103">
        <f t="shared" si="4"/>
        <v>764.89999999999964</v>
      </c>
      <c r="K11" s="104">
        <f t="shared" si="5"/>
        <v>0.14215094129234881</v>
      </c>
      <c r="L11" s="103">
        <f>'[1]komparasi material'!$T$28</f>
        <v>3108.0434782608695</v>
      </c>
      <c r="M11" s="103">
        <f t="shared" si="6"/>
        <v>-1507.9565217391305</v>
      </c>
      <c r="N11" s="104">
        <f t="shared" si="7"/>
        <v>-0.48517870882003222</v>
      </c>
      <c r="O11" s="103">
        <f>'[1]komparasi material'!$Z$28</f>
        <v>8.2853119584055418E-2</v>
      </c>
      <c r="P11" s="103">
        <f t="shared" ref="P11:P23" si="18">O11-H11</f>
        <v>-4615.9171468804161</v>
      </c>
      <c r="Q11" s="104">
        <f t="shared" si="8"/>
        <v>-55712.05007190485</v>
      </c>
      <c r="R11" s="105" t="s">
        <v>24</v>
      </c>
      <c r="S11" s="188">
        <f t="shared" si="9"/>
        <v>5380.9</v>
      </c>
      <c r="T11" s="106"/>
      <c r="U11" s="107"/>
      <c r="V11" s="108"/>
      <c r="W11" s="111"/>
      <c r="X11" s="90"/>
      <c r="Y11" s="90"/>
      <c r="Z11" s="91">
        <f t="shared" si="0"/>
        <v>20000</v>
      </c>
      <c r="AA11" s="92">
        <f t="shared" si="1"/>
        <v>92320000</v>
      </c>
      <c r="AB11" s="92">
        <f t="shared" si="2"/>
        <v>92320000</v>
      </c>
      <c r="AC11" s="93">
        <f t="shared" si="10"/>
        <v>107618000</v>
      </c>
      <c r="AD11" s="93">
        <f t="shared" si="11"/>
        <v>62160869.565217391</v>
      </c>
      <c r="AE11" s="93">
        <f t="shared" si="12"/>
        <v>1657.0623916811085</v>
      </c>
      <c r="AF11" s="110">
        <f t="shared" si="13"/>
        <v>-62159212.502825707</v>
      </c>
      <c r="AG11" s="112"/>
      <c r="AH11" s="96" t="str">
        <f t="shared" si="3"/>
        <v>LOWER ARM, D80N</v>
      </c>
      <c r="AI11" s="97" t="e">
        <f>#REF!</f>
        <v>#REF!</v>
      </c>
      <c r="AJ11" s="76">
        <v>8000</v>
      </c>
      <c r="AK11" s="76" t="e">
        <f t="shared" si="14"/>
        <v>#REF!</v>
      </c>
      <c r="AL11" s="97" t="e">
        <f>#REF!</f>
        <v>#REF!</v>
      </c>
      <c r="AM11" s="76">
        <f t="shared" si="15"/>
        <v>8000</v>
      </c>
      <c r="AN11" s="76" t="e">
        <f t="shared" si="16"/>
        <v>#REF!</v>
      </c>
      <c r="AO11" s="112"/>
      <c r="AQ11" s="99"/>
    </row>
    <row r="12" spans="1:43" s="98" customFormat="1" ht="17.25" customHeight="1">
      <c r="A12" s="78"/>
      <c r="B12" s="100">
        <v>4</v>
      </c>
      <c r="C12" s="80" t="s">
        <v>36</v>
      </c>
      <c r="D12" s="80" t="s">
        <v>37</v>
      </c>
      <c r="E12" s="101">
        <v>20000</v>
      </c>
      <c r="F12" s="102"/>
      <c r="G12" s="103">
        <v>4294</v>
      </c>
      <c r="H12" s="103">
        <f t="shared" si="17"/>
        <v>4294</v>
      </c>
      <c r="I12" s="103">
        <v>4997.7</v>
      </c>
      <c r="J12" s="103">
        <f t="shared" si="4"/>
        <v>703.69999999999982</v>
      </c>
      <c r="K12" s="104">
        <f t="shared" si="5"/>
        <v>0.14080477019428933</v>
      </c>
      <c r="L12" s="103">
        <f>'[1]komparasi material'!$T$26</f>
        <v>2846.7391304347825</v>
      </c>
      <c r="M12" s="103">
        <f t="shared" si="6"/>
        <v>-1447.2608695652175</v>
      </c>
      <c r="N12" s="104">
        <f t="shared" si="7"/>
        <v>-0.50839251622756787</v>
      </c>
      <c r="O12" s="103">
        <f>'[1]komparasi material'!$Z$26</f>
        <v>8.193991616208661E-2</v>
      </c>
      <c r="P12" s="103">
        <f t="shared" si="18"/>
        <v>-4293.9180600838381</v>
      </c>
      <c r="Q12" s="104">
        <f t="shared" si="8"/>
        <v>-52403.25181185166</v>
      </c>
      <c r="R12" s="105" t="s">
        <v>24</v>
      </c>
      <c r="S12" s="188">
        <f t="shared" si="9"/>
        <v>4997.7</v>
      </c>
      <c r="T12" s="106"/>
      <c r="U12" s="107"/>
      <c r="V12" s="108"/>
      <c r="W12" s="111"/>
      <c r="X12" s="90"/>
      <c r="Y12" s="90"/>
      <c r="Z12" s="91">
        <f t="shared" si="0"/>
        <v>20000</v>
      </c>
      <c r="AA12" s="92">
        <f t="shared" si="1"/>
        <v>85880000</v>
      </c>
      <c r="AB12" s="92">
        <f t="shared" si="2"/>
        <v>85880000</v>
      </c>
      <c r="AC12" s="93">
        <f t="shared" si="10"/>
        <v>99954000</v>
      </c>
      <c r="AD12" s="93">
        <f t="shared" si="11"/>
        <v>56934782.608695649</v>
      </c>
      <c r="AE12" s="93">
        <f t="shared" si="12"/>
        <v>1638.7983232417321</v>
      </c>
      <c r="AF12" s="110">
        <f t="shared" si="13"/>
        <v>-56933143.810372405</v>
      </c>
      <c r="AG12" s="95"/>
      <c r="AH12" s="96" t="str">
        <f t="shared" si="3"/>
        <v>UPPER ARM, D80N</v>
      </c>
      <c r="AI12" s="97" t="e">
        <f>#REF!</f>
        <v>#REF!</v>
      </c>
      <c r="AJ12" s="76">
        <v>6000</v>
      </c>
      <c r="AK12" s="76" t="e">
        <f t="shared" si="14"/>
        <v>#REF!</v>
      </c>
      <c r="AL12" s="97" t="e">
        <f>#REF!</f>
        <v>#REF!</v>
      </c>
      <c r="AM12" s="76">
        <f t="shared" si="15"/>
        <v>6000</v>
      </c>
      <c r="AN12" s="76" t="e">
        <f t="shared" si="16"/>
        <v>#REF!</v>
      </c>
      <c r="AO12" s="95"/>
      <c r="AQ12" s="99"/>
    </row>
    <row r="13" spans="1:43" s="98" customFormat="1" ht="17.25" customHeight="1">
      <c r="A13" s="78"/>
      <c r="B13" s="100">
        <v>5</v>
      </c>
      <c r="C13" s="113" t="s">
        <v>38</v>
      </c>
      <c r="D13" s="114" t="s">
        <v>39</v>
      </c>
      <c r="E13" s="115">
        <v>6000</v>
      </c>
      <c r="F13" s="102"/>
      <c r="G13" s="116">
        <v>5882</v>
      </c>
      <c r="H13" s="116">
        <f t="shared" si="17"/>
        <v>5882</v>
      </c>
      <c r="I13" s="116">
        <v>6939.2</v>
      </c>
      <c r="J13" s="116">
        <f t="shared" si="4"/>
        <v>1057.1999999999998</v>
      </c>
      <c r="K13" s="104">
        <f t="shared" si="5"/>
        <v>0.15235185612174312</v>
      </c>
      <c r="L13" s="116">
        <f>'[1]komparasi material'!$T$32</f>
        <v>5298.0750000000007</v>
      </c>
      <c r="M13" s="116">
        <f t="shared" si="6"/>
        <v>-583.92499999999927</v>
      </c>
      <c r="N13" s="104">
        <f t="shared" si="7"/>
        <v>-0.11021455906154579</v>
      </c>
      <c r="O13" s="116">
        <f>'[1]komparasi material'!$Z$32</f>
        <v>8.9867392043522593E-2</v>
      </c>
      <c r="P13" s="103">
        <f t="shared" si="18"/>
        <v>-5881.9101326079563</v>
      </c>
      <c r="Q13" s="104">
        <f t="shared" si="8"/>
        <v>-65450.993946273185</v>
      </c>
      <c r="R13" s="105" t="s">
        <v>24</v>
      </c>
      <c r="S13" s="188">
        <f t="shared" si="9"/>
        <v>6939.2</v>
      </c>
      <c r="T13" s="106"/>
      <c r="U13" s="107"/>
      <c r="V13" s="108"/>
      <c r="W13" s="111"/>
      <c r="X13" s="90"/>
      <c r="Y13" s="90"/>
      <c r="Z13" s="91">
        <f t="shared" si="0"/>
        <v>6000</v>
      </c>
      <c r="AA13" s="92">
        <f t="shared" si="1"/>
        <v>35292000</v>
      </c>
      <c r="AB13" s="92">
        <f t="shared" si="2"/>
        <v>35292000</v>
      </c>
      <c r="AC13" s="93">
        <f t="shared" si="10"/>
        <v>41635200</v>
      </c>
      <c r="AD13" s="93">
        <f t="shared" si="11"/>
        <v>31788450.000000004</v>
      </c>
      <c r="AE13" s="93">
        <f t="shared" si="12"/>
        <v>539.20435226113557</v>
      </c>
      <c r="AF13" s="110">
        <f t="shared" si="13"/>
        <v>-31787910.795647744</v>
      </c>
      <c r="AG13" s="112"/>
      <c r="AH13" s="96" t="str">
        <f t="shared" si="3"/>
        <v>LOWER ARM, SAPH PJ</v>
      </c>
      <c r="AI13" s="97" t="e">
        <f>#REF!</f>
        <v>#REF!</v>
      </c>
      <c r="AJ13" s="76">
        <v>16000</v>
      </c>
      <c r="AK13" s="76" t="e">
        <f t="shared" si="14"/>
        <v>#REF!</v>
      </c>
      <c r="AL13" s="97" t="e">
        <f>#REF!</f>
        <v>#REF!</v>
      </c>
      <c r="AM13" s="76">
        <f t="shared" si="15"/>
        <v>16000</v>
      </c>
      <c r="AN13" s="76" t="e">
        <f t="shared" si="16"/>
        <v>#REF!</v>
      </c>
      <c r="AO13" s="112"/>
      <c r="AQ13" s="99"/>
    </row>
    <row r="14" spans="1:43" s="98" customFormat="1" ht="17.25" customHeight="1">
      <c r="A14" s="78"/>
      <c r="B14" s="100">
        <v>6</v>
      </c>
      <c r="C14" s="113" t="s">
        <v>40</v>
      </c>
      <c r="D14" s="114" t="s">
        <v>41</v>
      </c>
      <c r="E14" s="115">
        <v>6000</v>
      </c>
      <c r="F14" s="102"/>
      <c r="G14" s="116">
        <v>5385</v>
      </c>
      <c r="H14" s="116">
        <f t="shared" si="17"/>
        <v>5385</v>
      </c>
      <c r="I14" s="116">
        <v>6336.5</v>
      </c>
      <c r="J14" s="116">
        <f t="shared" si="4"/>
        <v>951.5</v>
      </c>
      <c r="K14" s="104">
        <f t="shared" si="5"/>
        <v>0.15016176122465083</v>
      </c>
      <c r="L14" s="116">
        <f>'[1]komparasi material'!$T$30</f>
        <v>4761.5625</v>
      </c>
      <c r="M14" s="116">
        <f t="shared" si="6"/>
        <v>-623.4375</v>
      </c>
      <c r="N14" s="104">
        <f t="shared" si="7"/>
        <v>-0.13093128568615869</v>
      </c>
      <c r="O14" s="116">
        <f>'[1]komparasi material'!$Z$30</f>
        <v>8.8347260909934999E-2</v>
      </c>
      <c r="P14" s="103">
        <f t="shared" si="18"/>
        <v>-5384.9116527390897</v>
      </c>
      <c r="Q14" s="104">
        <f t="shared" si="8"/>
        <v>-60951.653704676828</v>
      </c>
      <c r="R14" s="105" t="s">
        <v>24</v>
      </c>
      <c r="S14" s="188">
        <f t="shared" si="9"/>
        <v>6336.5</v>
      </c>
      <c r="T14" s="106"/>
      <c r="U14" s="107"/>
      <c r="V14" s="108"/>
      <c r="W14" s="111"/>
      <c r="X14" s="90"/>
      <c r="Y14" s="90"/>
      <c r="Z14" s="91">
        <f t="shared" si="0"/>
        <v>6000</v>
      </c>
      <c r="AA14" s="92">
        <f t="shared" si="1"/>
        <v>32310000</v>
      </c>
      <c r="AB14" s="92">
        <f t="shared" si="2"/>
        <v>32310000</v>
      </c>
      <c r="AC14" s="93">
        <f t="shared" si="10"/>
        <v>38019000</v>
      </c>
      <c r="AD14" s="93">
        <f t="shared" si="11"/>
        <v>28569375</v>
      </c>
      <c r="AE14" s="93">
        <f t="shared" si="12"/>
        <v>530.08356545960999</v>
      </c>
      <c r="AF14" s="110">
        <f t="shared" si="13"/>
        <v>-28568844.916434541</v>
      </c>
      <c r="AG14" s="112" t="s">
        <v>42</v>
      </c>
      <c r="AH14" s="96" t="str">
        <f t="shared" si="3"/>
        <v>UPPER ARM, SAPH PJ</v>
      </c>
      <c r="AI14" s="97" t="e">
        <f>#REF!</f>
        <v>#REF!</v>
      </c>
      <c r="AJ14" s="76">
        <v>1000</v>
      </c>
      <c r="AK14" s="76" t="e">
        <f t="shared" si="14"/>
        <v>#REF!</v>
      </c>
      <c r="AL14" s="97" t="e">
        <f>#REF!</f>
        <v>#REF!</v>
      </c>
      <c r="AM14" s="76">
        <f t="shared" si="15"/>
        <v>1000</v>
      </c>
      <c r="AN14" s="76" t="e">
        <f t="shared" si="16"/>
        <v>#REF!</v>
      </c>
      <c r="AO14" s="112"/>
      <c r="AQ14" s="99"/>
    </row>
    <row r="15" spans="1:43" s="98" customFormat="1" ht="17.25" customHeight="1">
      <c r="A15" s="78"/>
      <c r="B15" s="100">
        <v>7</v>
      </c>
      <c r="C15" s="113" t="s">
        <v>43</v>
      </c>
      <c r="D15" s="117" t="s">
        <v>44</v>
      </c>
      <c r="E15" s="101">
        <f>532*2*20</f>
        <v>21280</v>
      </c>
      <c r="F15" s="102"/>
      <c r="G15" s="116">
        <v>6534</v>
      </c>
      <c r="H15" s="116">
        <f t="shared" si="17"/>
        <v>6534</v>
      </c>
      <c r="I15" s="116">
        <v>7682.7</v>
      </c>
      <c r="J15" s="116">
        <f t="shared" si="4"/>
        <v>1148.6999999999998</v>
      </c>
      <c r="K15" s="104">
        <f t="shared" si="5"/>
        <v>0.14951774766683587</v>
      </c>
      <c r="L15" s="116">
        <f>'[1]komparasi material'!$T$36</f>
        <v>6174.2249999999995</v>
      </c>
      <c r="M15" s="116">
        <f t="shared" si="6"/>
        <v>-359.77500000000055</v>
      </c>
      <c r="N15" s="104">
        <f t="shared" si="7"/>
        <v>-5.8270471192740883E-2</v>
      </c>
      <c r="O15" s="116">
        <f>'[1]komparasi material'!$Z$36</f>
        <v>9.5189030058878202E-2</v>
      </c>
      <c r="P15" s="103">
        <f t="shared" si="18"/>
        <v>-6533.9048109699415</v>
      </c>
      <c r="Q15" s="104">
        <f t="shared" si="8"/>
        <v>-68641.363473589983</v>
      </c>
      <c r="R15" s="105" t="s">
        <v>24</v>
      </c>
      <c r="S15" s="188">
        <f t="shared" si="9"/>
        <v>7682.7</v>
      </c>
      <c r="T15" s="106"/>
      <c r="U15" s="107"/>
      <c r="V15" s="108"/>
      <c r="W15" s="118"/>
      <c r="X15" s="90"/>
      <c r="Y15" s="90"/>
      <c r="Z15" s="91">
        <f t="shared" si="0"/>
        <v>21280</v>
      </c>
      <c r="AA15" s="92">
        <f t="shared" si="1"/>
        <v>139043520</v>
      </c>
      <c r="AB15" s="92">
        <f t="shared" si="2"/>
        <v>139043520</v>
      </c>
      <c r="AC15" s="93">
        <f t="shared" si="10"/>
        <v>163487856</v>
      </c>
      <c r="AD15" s="93">
        <f t="shared" si="11"/>
        <v>131387507.99999999</v>
      </c>
      <c r="AE15" s="93">
        <f t="shared" si="12"/>
        <v>2025.6225596529282</v>
      </c>
      <c r="AF15" s="110">
        <f t="shared" si="13"/>
        <v>-131385482.37744033</v>
      </c>
      <c r="AG15" s="112"/>
      <c r="AH15" s="96" t="str">
        <f t="shared" si="3"/>
        <v>LOWER ARM, 800A</v>
      </c>
      <c r="AI15" s="97" t="e">
        <f>#REF!</f>
        <v>#REF!</v>
      </c>
      <c r="AJ15" s="76">
        <v>5000</v>
      </c>
      <c r="AK15" s="76" t="e">
        <f t="shared" si="14"/>
        <v>#REF!</v>
      </c>
      <c r="AL15" s="97" t="e">
        <f>#REF!</f>
        <v>#REF!</v>
      </c>
      <c r="AM15" s="76">
        <f t="shared" si="15"/>
        <v>5000</v>
      </c>
      <c r="AN15" s="76" t="e">
        <f t="shared" si="16"/>
        <v>#REF!</v>
      </c>
      <c r="AO15" s="112"/>
      <c r="AQ15" s="99"/>
    </row>
    <row r="16" spans="1:43" s="98" customFormat="1" ht="17.25" customHeight="1">
      <c r="A16" s="78"/>
      <c r="B16" s="100">
        <v>8</v>
      </c>
      <c r="C16" s="117" t="s">
        <v>45</v>
      </c>
      <c r="D16" s="117" t="s">
        <v>46</v>
      </c>
      <c r="E16" s="101">
        <f>532*2*20</f>
        <v>21280</v>
      </c>
      <c r="F16" s="102"/>
      <c r="G16" s="116">
        <v>6465</v>
      </c>
      <c r="H16" s="116">
        <f t="shared" si="17"/>
        <v>6465</v>
      </c>
      <c r="I16" s="116">
        <v>7493.8</v>
      </c>
      <c r="J16" s="116">
        <f t="shared" si="4"/>
        <v>1028.8000000000002</v>
      </c>
      <c r="K16" s="104">
        <f t="shared" si="5"/>
        <v>0.13728682377432014</v>
      </c>
      <c r="L16" s="116">
        <f>'[1]komparasi material'!$T$34</f>
        <v>5746.3874999999998</v>
      </c>
      <c r="M16" s="116">
        <f t="shared" si="6"/>
        <v>-718.61250000000018</v>
      </c>
      <c r="N16" s="104">
        <f t="shared" si="7"/>
        <v>-0.1250546539021255</v>
      </c>
      <c r="O16" s="116">
        <f>'[1]komparasi material'!$Z$34</f>
        <v>9.0527974783293941E-2</v>
      </c>
      <c r="P16" s="103">
        <f t="shared" si="18"/>
        <v>-6464.9094720252169</v>
      </c>
      <c r="Q16" s="104">
        <f t="shared" si="8"/>
        <v>-71413.388927576598</v>
      </c>
      <c r="R16" s="105" t="s">
        <v>24</v>
      </c>
      <c r="S16" s="188">
        <f t="shared" si="9"/>
        <v>7493.8</v>
      </c>
      <c r="T16" s="106"/>
      <c r="U16" s="107"/>
      <c r="V16" s="108"/>
      <c r="W16" s="118"/>
      <c r="X16" s="90"/>
      <c r="Y16" s="90"/>
      <c r="Z16" s="91">
        <f t="shared" si="0"/>
        <v>21280</v>
      </c>
      <c r="AA16" s="92">
        <f t="shared" si="1"/>
        <v>137575200</v>
      </c>
      <c r="AB16" s="92">
        <f t="shared" si="2"/>
        <v>137575200</v>
      </c>
      <c r="AC16" s="93">
        <f t="shared" si="10"/>
        <v>159468064</v>
      </c>
      <c r="AD16" s="93">
        <f t="shared" si="11"/>
        <v>122283126</v>
      </c>
      <c r="AE16" s="93">
        <f t="shared" si="12"/>
        <v>1926.435303388495</v>
      </c>
      <c r="AF16" s="110">
        <f t="shared" si="13"/>
        <v>-122281199.56469661</v>
      </c>
      <c r="AG16" s="112"/>
      <c r="AH16" s="96" t="str">
        <f t="shared" si="3"/>
        <v>UPPER ARM, 800A</v>
      </c>
      <c r="AI16" s="97" t="e">
        <f>#REF!</f>
        <v>#REF!</v>
      </c>
      <c r="AJ16" s="76">
        <v>30000</v>
      </c>
      <c r="AK16" s="76" t="e">
        <f t="shared" si="14"/>
        <v>#REF!</v>
      </c>
      <c r="AL16" s="97" t="e">
        <f>#REF!</f>
        <v>#REF!</v>
      </c>
      <c r="AM16" s="76">
        <f t="shared" si="15"/>
        <v>30000</v>
      </c>
      <c r="AN16" s="76" t="e">
        <f t="shared" si="16"/>
        <v>#REF!</v>
      </c>
      <c r="AO16" s="112"/>
      <c r="AQ16" s="99"/>
    </row>
    <row r="17" spans="1:47" s="98" customFormat="1" ht="17.25" customHeight="1">
      <c r="A17" s="78"/>
      <c r="B17" s="100">
        <v>9</v>
      </c>
      <c r="C17" s="117" t="s">
        <v>47</v>
      </c>
      <c r="D17" s="117" t="s">
        <v>48</v>
      </c>
      <c r="E17" s="101">
        <f>4000*2</f>
        <v>8000</v>
      </c>
      <c r="F17" s="119"/>
      <c r="G17" s="120">
        <v>4707</v>
      </c>
      <c r="H17" s="120">
        <v>4707</v>
      </c>
      <c r="I17" s="120">
        <f>'[1]komparasi material'!$M$44</f>
        <v>5552.2</v>
      </c>
      <c r="J17" s="120">
        <f t="shared" si="4"/>
        <v>845.19999999999982</v>
      </c>
      <c r="K17" s="104">
        <f t="shared" si="5"/>
        <v>0.15222794567919021</v>
      </c>
      <c r="L17" s="120">
        <f>'[1]komparasi material'!$T$44</f>
        <v>4232.5506072874496</v>
      </c>
      <c r="M17" s="120">
        <f t="shared" si="6"/>
        <v>-474.44939271255043</v>
      </c>
      <c r="N17" s="104">
        <f t="shared" si="7"/>
        <v>-0.11209538567493109</v>
      </c>
      <c r="O17" s="120">
        <f>'[1]komparasi material'!$Z$44</f>
        <v>8.9781176970469501E-2</v>
      </c>
      <c r="P17" s="103">
        <f t="shared" si="18"/>
        <v>-4706.9102188230299</v>
      </c>
      <c r="Q17" s="104">
        <f t="shared" si="8"/>
        <v>-52426.470421202095</v>
      </c>
      <c r="R17" s="105" t="s">
        <v>24</v>
      </c>
      <c r="S17" s="188">
        <f t="shared" si="9"/>
        <v>5552.2</v>
      </c>
      <c r="T17" s="106"/>
      <c r="U17" s="121"/>
      <c r="V17" s="122"/>
      <c r="W17" s="89"/>
      <c r="X17" s="90"/>
      <c r="Y17" s="90"/>
      <c r="Z17" s="91">
        <f t="shared" si="0"/>
        <v>8000</v>
      </c>
      <c r="AA17" s="92">
        <f t="shared" si="1"/>
        <v>37656000</v>
      </c>
      <c r="AB17" s="92">
        <f t="shared" si="2"/>
        <v>37656000</v>
      </c>
      <c r="AC17" s="93">
        <f t="shared" si="10"/>
        <v>44417600</v>
      </c>
      <c r="AD17" s="93">
        <f t="shared" si="11"/>
        <v>33860404.858299598</v>
      </c>
      <c r="AE17" s="93">
        <f t="shared" si="12"/>
        <v>718.24941576375602</v>
      </c>
      <c r="AF17" s="110">
        <f t="shared" si="13"/>
        <v>-33859686.608883835</v>
      </c>
      <c r="AG17" s="112"/>
      <c r="AH17" s="96" t="str">
        <f t="shared" si="3"/>
        <v>UPPER ARM, D40L</v>
      </c>
      <c r="AI17" s="97" t="e">
        <f>#REF!</f>
        <v>#REF!</v>
      </c>
      <c r="AJ17" s="76">
        <v>3000</v>
      </c>
      <c r="AK17" s="76" t="e">
        <f t="shared" si="14"/>
        <v>#REF!</v>
      </c>
      <c r="AL17" s="97" t="e">
        <f>#REF!</f>
        <v>#REF!</v>
      </c>
      <c r="AM17" s="76">
        <f t="shared" si="15"/>
        <v>3000</v>
      </c>
      <c r="AN17" s="76" t="e">
        <f t="shared" si="16"/>
        <v>#REF!</v>
      </c>
      <c r="AO17" s="112"/>
      <c r="AQ17" s="99"/>
    </row>
    <row r="18" spans="1:47" s="98" customFormat="1" ht="17.25" customHeight="1">
      <c r="A18" s="78"/>
      <c r="B18" s="100">
        <v>10</v>
      </c>
      <c r="C18" s="117" t="s">
        <v>49</v>
      </c>
      <c r="D18" s="117" t="s">
        <v>50</v>
      </c>
      <c r="E18" s="101">
        <f>4000*2</f>
        <v>8000</v>
      </c>
      <c r="F18" s="119"/>
      <c r="G18" s="120">
        <v>5170</v>
      </c>
      <c r="H18" s="120">
        <v>5170</v>
      </c>
      <c r="I18" s="120">
        <f>'[1]komparasi material'!$M$46</f>
        <v>6114.7</v>
      </c>
      <c r="J18" s="120">
        <f t="shared" si="4"/>
        <v>944.69999999999982</v>
      </c>
      <c r="K18" s="104">
        <f t="shared" si="5"/>
        <v>0.15449654112221364</v>
      </c>
      <c r="L18" s="120">
        <f>'[1]komparasi material'!$T$46</f>
        <v>4690.5668016194331</v>
      </c>
      <c r="M18" s="120">
        <f t="shared" si="6"/>
        <v>-479.43319838056686</v>
      </c>
      <c r="N18" s="104">
        <f t="shared" si="7"/>
        <v>-0.10221220987942034</v>
      </c>
      <c r="O18" s="120">
        <f>'[1]komparasi material'!$Z$46</f>
        <v>9.1363636363636341E-2</v>
      </c>
      <c r="P18" s="103">
        <f t="shared" si="18"/>
        <v>-5169.9086363636361</v>
      </c>
      <c r="Q18" s="104">
        <f t="shared" si="8"/>
        <v>-56586.064676616923</v>
      </c>
      <c r="R18" s="123" t="s">
        <v>24</v>
      </c>
      <c r="S18" s="189">
        <f t="shared" si="9"/>
        <v>6114.7</v>
      </c>
      <c r="T18" s="124"/>
      <c r="U18" s="121"/>
      <c r="V18" s="108"/>
      <c r="W18" s="89"/>
      <c r="X18" s="90"/>
      <c r="Y18" s="90"/>
      <c r="Z18" s="91">
        <f t="shared" si="0"/>
        <v>8000</v>
      </c>
      <c r="AA18" s="92">
        <f t="shared" si="1"/>
        <v>41360000</v>
      </c>
      <c r="AB18" s="92">
        <f t="shared" si="2"/>
        <v>41360000</v>
      </c>
      <c r="AC18" s="93">
        <f t="shared" si="10"/>
        <v>48917600</v>
      </c>
      <c r="AD18" s="93">
        <f t="shared" si="11"/>
        <v>37524534.412955463</v>
      </c>
      <c r="AE18" s="93">
        <f t="shared" si="12"/>
        <v>730.90909090909076</v>
      </c>
      <c r="AF18" s="110">
        <f t="shared" si="13"/>
        <v>-37523803.503864557</v>
      </c>
      <c r="AG18" s="112"/>
      <c r="AH18" s="96" t="str">
        <f t="shared" si="3"/>
        <v>LOWER ARM, D40L</v>
      </c>
      <c r="AI18" s="97" t="e">
        <f>#REF!</f>
        <v>#REF!</v>
      </c>
      <c r="AJ18" s="76">
        <v>10000</v>
      </c>
      <c r="AK18" s="76" t="e">
        <f t="shared" si="14"/>
        <v>#REF!</v>
      </c>
      <c r="AL18" s="97" t="e">
        <f>#REF!</f>
        <v>#REF!</v>
      </c>
      <c r="AM18" s="76">
        <f t="shared" si="15"/>
        <v>10000</v>
      </c>
      <c r="AN18" s="76" t="e">
        <f t="shared" si="16"/>
        <v>#REF!</v>
      </c>
      <c r="AO18" s="112"/>
      <c r="AQ18" s="99">
        <v>278.49</v>
      </c>
    </row>
    <row r="19" spans="1:47" s="98" customFormat="1" ht="17.25" customHeight="1">
      <c r="A19" s="78"/>
      <c r="B19" s="100">
        <v>11</v>
      </c>
      <c r="C19" s="117" t="s">
        <v>51</v>
      </c>
      <c r="D19" s="117" t="s">
        <v>52</v>
      </c>
      <c r="E19" s="125">
        <v>4000</v>
      </c>
      <c r="F19" s="126"/>
      <c r="G19" s="120">
        <v>4110</v>
      </c>
      <c r="H19" s="120">
        <v>4110</v>
      </c>
      <c r="I19" s="120">
        <v>4905</v>
      </c>
      <c r="J19" s="120">
        <f t="shared" si="4"/>
        <v>795</v>
      </c>
      <c r="K19" s="104">
        <f t="shared" si="5"/>
        <v>0.1620795107033639</v>
      </c>
      <c r="L19" s="120">
        <f>'[1]komparasi material'!$T$42</f>
        <v>3802.3012552301257</v>
      </c>
      <c r="M19" s="120">
        <f t="shared" si="6"/>
        <v>-307.69874476987434</v>
      </c>
      <c r="N19" s="104">
        <f t="shared" si="7"/>
        <v>-8.092434662998621E-2</v>
      </c>
      <c r="O19" s="120">
        <f>'[1]komparasi material'!$Z$42</f>
        <v>9.6715328467153291E-2</v>
      </c>
      <c r="P19" s="103">
        <f t="shared" si="18"/>
        <v>-4109.9032846715327</v>
      </c>
      <c r="Q19" s="104">
        <f t="shared" si="8"/>
        <v>-42494.849056603765</v>
      </c>
      <c r="R19" s="105" t="s">
        <v>24</v>
      </c>
      <c r="S19" s="188">
        <f t="shared" si="9"/>
        <v>4905</v>
      </c>
      <c r="T19" s="106"/>
      <c r="U19" s="107"/>
      <c r="V19" s="108"/>
      <c r="W19" s="89"/>
      <c r="X19" s="90"/>
      <c r="Y19" s="90"/>
      <c r="Z19" s="91">
        <f t="shared" si="0"/>
        <v>4000</v>
      </c>
      <c r="AA19" s="92">
        <f t="shared" si="1"/>
        <v>16440000</v>
      </c>
      <c r="AB19" s="92">
        <f t="shared" si="2"/>
        <v>16440000</v>
      </c>
      <c r="AC19" s="93">
        <f t="shared" si="10"/>
        <v>19620000</v>
      </c>
      <c r="AD19" s="93">
        <f t="shared" si="11"/>
        <v>15209205.020920502</v>
      </c>
      <c r="AE19" s="93">
        <f t="shared" si="12"/>
        <v>386.86131386861314</v>
      </c>
      <c r="AF19" s="110">
        <f t="shared" si="13"/>
        <v>-15208818.159606634</v>
      </c>
      <c r="AG19" s="112"/>
      <c r="AH19" s="96" t="str">
        <f t="shared" si="3"/>
        <v>BASE, D40L</v>
      </c>
      <c r="AI19" s="97" t="e">
        <f>#REF!</f>
        <v>#REF!</v>
      </c>
      <c r="AJ19" s="76">
        <v>12000</v>
      </c>
      <c r="AK19" s="76" t="e">
        <f t="shared" si="14"/>
        <v>#REF!</v>
      </c>
      <c r="AL19" s="97" t="e">
        <f>#REF!</f>
        <v>#REF!</v>
      </c>
      <c r="AM19" s="76">
        <f t="shared" si="15"/>
        <v>12000</v>
      </c>
      <c r="AN19" s="76" t="e">
        <f t="shared" si="16"/>
        <v>#REF!</v>
      </c>
      <c r="AO19" s="112"/>
      <c r="AQ19" s="127"/>
      <c r="AT19" s="98">
        <v>40052</v>
      </c>
      <c r="AU19" s="98">
        <f t="shared" ref="AU19:AU27" si="19">AT19/12</f>
        <v>3337.6666666666665</v>
      </c>
    </row>
    <row r="20" spans="1:47" s="98" customFormat="1" ht="17.25" customHeight="1">
      <c r="A20" s="78"/>
      <c r="B20" s="100">
        <v>12</v>
      </c>
      <c r="C20" s="114" t="s">
        <v>53</v>
      </c>
      <c r="D20" s="114" t="s">
        <v>54</v>
      </c>
      <c r="E20" s="128">
        <v>44000</v>
      </c>
      <c r="F20" s="129"/>
      <c r="G20" s="130">
        <v>1366</v>
      </c>
      <c r="H20" s="130">
        <v>1366</v>
      </c>
      <c r="I20" s="130">
        <v>1547</v>
      </c>
      <c r="J20" s="130">
        <f t="shared" si="4"/>
        <v>181</v>
      </c>
      <c r="K20" s="104">
        <f t="shared" si="5"/>
        <v>0.11700064641241112</v>
      </c>
      <c r="L20" s="130">
        <f>'[1]komparasi material'!$T$38</f>
        <v>1055.4347826086955</v>
      </c>
      <c r="M20" s="130">
        <f t="shared" si="6"/>
        <v>-310.56521739130449</v>
      </c>
      <c r="N20" s="104">
        <f t="shared" si="7"/>
        <v>-0.29425334706488171</v>
      </c>
      <c r="O20" s="130">
        <f>'[1]komparasi material'!$Z$38</f>
        <v>6.6251830161054168E-2</v>
      </c>
      <c r="P20" s="103">
        <f t="shared" si="18"/>
        <v>-1365.933748169839</v>
      </c>
      <c r="Q20" s="104">
        <f t="shared" si="8"/>
        <v>-20617.298342541439</v>
      </c>
      <c r="R20" s="105" t="s">
        <v>71</v>
      </c>
      <c r="S20" s="188">
        <f t="shared" si="9"/>
        <v>1547</v>
      </c>
      <c r="T20" s="106"/>
      <c r="U20" s="107"/>
      <c r="V20" s="108"/>
      <c r="W20" s="89"/>
      <c r="X20" s="90"/>
      <c r="Y20" s="90"/>
      <c r="Z20" s="91"/>
      <c r="AA20" s="92">
        <f t="shared" si="1"/>
        <v>60104000</v>
      </c>
      <c r="AB20" s="92"/>
      <c r="AC20" s="93">
        <f t="shared" si="10"/>
        <v>68068000</v>
      </c>
      <c r="AD20" s="93">
        <f t="shared" si="11"/>
        <v>46439130.434782602</v>
      </c>
      <c r="AE20" s="93">
        <f t="shared" si="12"/>
        <v>2915.0805270863834</v>
      </c>
      <c r="AF20" s="110"/>
      <c r="AG20" s="112"/>
      <c r="AH20" s="96"/>
      <c r="AI20" s="97"/>
      <c r="AJ20" s="76"/>
      <c r="AK20" s="76"/>
      <c r="AL20" s="97"/>
      <c r="AM20" s="76"/>
      <c r="AN20" s="76"/>
      <c r="AO20" s="112"/>
      <c r="AQ20" s="127"/>
    </row>
    <row r="21" spans="1:47" s="98" customFormat="1" ht="17.25" customHeight="1">
      <c r="A21" s="78"/>
      <c r="B21" s="100">
        <v>13</v>
      </c>
      <c r="C21" s="114" t="s">
        <v>55</v>
      </c>
      <c r="D21" s="114" t="s">
        <v>56</v>
      </c>
      <c r="E21" s="128">
        <v>3500</v>
      </c>
      <c r="F21" s="129"/>
      <c r="G21" s="130">
        <v>4941</v>
      </c>
      <c r="H21" s="130">
        <v>4941</v>
      </c>
      <c r="I21" s="130">
        <v>5395</v>
      </c>
      <c r="J21" s="130">
        <f t="shared" si="4"/>
        <v>454</v>
      </c>
      <c r="K21" s="104">
        <f t="shared" si="5"/>
        <v>8.4151992585727531E-2</v>
      </c>
      <c r="L21" s="130">
        <f>'[1]komparasi material'!$T$40</f>
        <v>2184.100418410042</v>
      </c>
      <c r="M21" s="130">
        <f t="shared" si="6"/>
        <v>-2756.899581589958</v>
      </c>
      <c r="N21" s="104">
        <f t="shared" si="7"/>
        <v>-1.2622586206896549</v>
      </c>
      <c r="O21" s="130">
        <f>'[1]komparasi material'!$Z$40</f>
        <v>4.5942116980368347E-2</v>
      </c>
      <c r="P21" s="103">
        <f t="shared" si="18"/>
        <v>-4940.9540578830192</v>
      </c>
      <c r="Q21" s="104">
        <f t="shared" si="8"/>
        <v>-107547.3744493392</v>
      </c>
      <c r="R21" s="105" t="s">
        <v>71</v>
      </c>
      <c r="S21" s="188">
        <f t="shared" si="9"/>
        <v>5395</v>
      </c>
      <c r="T21" s="106"/>
      <c r="U21" s="107"/>
      <c r="V21" s="108"/>
      <c r="W21" s="89"/>
      <c r="X21" s="90"/>
      <c r="Y21" s="90"/>
      <c r="Z21" s="91"/>
      <c r="AA21" s="92"/>
      <c r="AB21" s="92"/>
      <c r="AC21" s="93">
        <f t="shared" si="10"/>
        <v>18882500</v>
      </c>
      <c r="AD21" s="93">
        <f t="shared" si="11"/>
        <v>7644351.4644351471</v>
      </c>
      <c r="AE21" s="93">
        <f t="shared" si="12"/>
        <v>160.79740943128922</v>
      </c>
      <c r="AF21" s="110"/>
      <c r="AG21" s="112"/>
      <c r="AH21" s="96"/>
      <c r="AI21" s="97"/>
      <c r="AJ21" s="76"/>
      <c r="AK21" s="76"/>
      <c r="AL21" s="97"/>
      <c r="AM21" s="76"/>
      <c r="AN21" s="76"/>
      <c r="AO21" s="112"/>
      <c r="AQ21" s="127"/>
    </row>
    <row r="22" spans="1:47" s="98" customFormat="1" ht="17.25" customHeight="1">
      <c r="A22" s="78"/>
      <c r="B22" s="100">
        <v>14</v>
      </c>
      <c r="C22" s="117" t="s">
        <v>57</v>
      </c>
      <c r="D22" s="117" t="s">
        <v>58</v>
      </c>
      <c r="E22" s="131">
        <v>4000</v>
      </c>
      <c r="F22" s="132"/>
      <c r="G22" s="120">
        <v>0</v>
      </c>
      <c r="H22" s="120">
        <v>2719</v>
      </c>
      <c r="I22" s="120">
        <v>3218</v>
      </c>
      <c r="J22" s="120">
        <f t="shared" si="4"/>
        <v>499</v>
      </c>
      <c r="K22" s="104">
        <f t="shared" si="5"/>
        <v>0.1550652579241765</v>
      </c>
      <c r="L22" s="120">
        <f>'[1]komparasi material'!$T$48</f>
        <v>2372.4782608695655</v>
      </c>
      <c r="M22" s="120">
        <f t="shared" si="6"/>
        <v>-346.52173913043453</v>
      </c>
      <c r="N22" s="104">
        <f t="shared" si="7"/>
        <v>-0.14605897337218454</v>
      </c>
      <c r="O22" s="120">
        <f>'[1]komparasi material'!$Z$48</f>
        <v>9.1761677087164401E-2</v>
      </c>
      <c r="P22" s="103">
        <f t="shared" si="18"/>
        <v>-2718.9082383229129</v>
      </c>
      <c r="Q22" s="104">
        <f t="shared" si="8"/>
        <v>-29630.106212424849</v>
      </c>
      <c r="R22" s="105" t="s">
        <v>71</v>
      </c>
      <c r="S22" s="188">
        <f t="shared" si="9"/>
        <v>3218</v>
      </c>
      <c r="T22" s="106"/>
      <c r="U22" s="107"/>
      <c r="V22" s="108"/>
      <c r="W22" s="89"/>
      <c r="X22" s="90"/>
      <c r="Y22" s="90"/>
      <c r="Z22" s="91"/>
      <c r="AA22" s="92">
        <f>E22*G22</f>
        <v>0</v>
      </c>
      <c r="AB22" s="92">
        <f>E22*H22</f>
        <v>10876000</v>
      </c>
      <c r="AC22" s="93">
        <f t="shared" si="10"/>
        <v>12872000</v>
      </c>
      <c r="AD22" s="93">
        <f t="shared" si="11"/>
        <v>9489913.0434782617</v>
      </c>
      <c r="AE22" s="93">
        <f t="shared" si="12"/>
        <v>367.0467083486576</v>
      </c>
      <c r="AF22" s="110"/>
      <c r="AG22" s="112"/>
      <c r="AH22" s="96"/>
      <c r="AI22" s="97"/>
      <c r="AJ22" s="76"/>
      <c r="AK22" s="76"/>
      <c r="AL22" s="97"/>
      <c r="AM22" s="76"/>
      <c r="AN22" s="76"/>
      <c r="AO22" s="112"/>
      <c r="AQ22" s="127"/>
    </row>
    <row r="23" spans="1:47" s="98" customFormat="1" ht="17.25" customHeight="1">
      <c r="A23" s="78"/>
      <c r="B23" s="100">
        <v>15</v>
      </c>
      <c r="C23" s="133" t="s">
        <v>59</v>
      </c>
      <c r="D23" s="133" t="s">
        <v>60</v>
      </c>
      <c r="E23" s="131">
        <v>4000</v>
      </c>
      <c r="F23" s="132"/>
      <c r="G23" s="134">
        <v>0</v>
      </c>
      <c r="H23" s="134">
        <v>3971</v>
      </c>
      <c r="I23" s="134">
        <v>4848</v>
      </c>
      <c r="J23" s="134">
        <f t="shared" si="4"/>
        <v>877</v>
      </c>
      <c r="K23" s="104">
        <f t="shared" si="5"/>
        <v>0.1808993399339934</v>
      </c>
      <c r="L23" s="134">
        <f>'[1]komparasi material'!$T$50</f>
        <v>4088.5714285714289</v>
      </c>
      <c r="M23" s="134">
        <f t="shared" si="6"/>
        <v>117.5714285714289</v>
      </c>
      <c r="N23" s="104">
        <f t="shared" si="7"/>
        <v>2.8756114605171287E-2</v>
      </c>
      <c r="O23" s="134">
        <f>'[1]komparasi material'!$Z$50</f>
        <v>0.11042558549483757</v>
      </c>
      <c r="P23" s="103">
        <f t="shared" si="18"/>
        <v>-3970.8895744145052</v>
      </c>
      <c r="Q23" s="104">
        <f t="shared" si="8"/>
        <v>-35959.868871151659</v>
      </c>
      <c r="R23" s="105" t="s">
        <v>71</v>
      </c>
      <c r="S23" s="190">
        <f t="shared" si="9"/>
        <v>4848</v>
      </c>
      <c r="T23" s="135"/>
      <c r="U23" s="107"/>
      <c r="V23" s="108"/>
      <c r="W23" s="89"/>
      <c r="X23" s="90"/>
      <c r="Y23" s="90"/>
      <c r="Z23" s="91"/>
      <c r="AA23" s="92">
        <f>E23*G23</f>
        <v>0</v>
      </c>
      <c r="AB23" s="92">
        <f>E23*H23</f>
        <v>15884000</v>
      </c>
      <c r="AC23" s="93">
        <f t="shared" si="10"/>
        <v>19392000</v>
      </c>
      <c r="AD23" s="93">
        <f t="shared" si="11"/>
        <v>16354285.714285716</v>
      </c>
      <c r="AE23" s="93">
        <f t="shared" si="12"/>
        <v>441.70234197935025</v>
      </c>
      <c r="AF23" s="110"/>
      <c r="AG23" s="112"/>
      <c r="AH23" s="96"/>
      <c r="AI23" s="97"/>
      <c r="AJ23" s="76"/>
      <c r="AK23" s="76"/>
      <c r="AL23" s="97"/>
      <c r="AM23" s="76"/>
      <c r="AN23" s="76"/>
      <c r="AO23" s="112"/>
      <c r="AQ23" s="127"/>
    </row>
    <row r="24" spans="1:47" s="98" customFormat="1" ht="17.25" customHeight="1">
      <c r="A24" s="78"/>
      <c r="B24" s="136"/>
      <c r="C24" s="136"/>
      <c r="D24" s="137"/>
      <c r="E24" s="138"/>
      <c r="F24" s="139"/>
      <c r="G24" s="140"/>
      <c r="H24" s="141"/>
      <c r="I24" s="142"/>
      <c r="J24" s="142"/>
      <c r="K24" s="142"/>
      <c r="L24" s="142"/>
      <c r="M24" s="142"/>
      <c r="N24" s="142"/>
      <c r="O24" s="142"/>
      <c r="P24" s="142"/>
      <c r="Q24" s="142"/>
      <c r="R24" s="143"/>
      <c r="S24" s="143"/>
      <c r="T24" s="106"/>
      <c r="U24" s="107"/>
      <c r="V24" s="108"/>
      <c r="W24" s="89"/>
      <c r="X24" s="90"/>
      <c r="Y24" s="90"/>
      <c r="Z24" s="91">
        <f>E24</f>
        <v>0</v>
      </c>
      <c r="AA24" s="92">
        <f>$E24*F24</f>
        <v>0</v>
      </c>
      <c r="AB24" s="92"/>
      <c r="AC24" s="142"/>
      <c r="AD24" s="142"/>
      <c r="AE24" s="142"/>
      <c r="AF24" s="110">
        <f>AE24-AD24</f>
        <v>0</v>
      </c>
      <c r="AG24" s="112"/>
      <c r="AH24" s="96">
        <f>D24</f>
        <v>0</v>
      </c>
      <c r="AI24" s="97">
        <f>G24</f>
        <v>0</v>
      </c>
      <c r="AJ24" s="76">
        <v>10000</v>
      </c>
      <c r="AK24" s="76">
        <f>AI24*AJ24</f>
        <v>0</v>
      </c>
      <c r="AL24" s="97" t="e">
        <f>#REF!</f>
        <v>#REF!</v>
      </c>
      <c r="AM24" s="76">
        <f>AJ24</f>
        <v>10000</v>
      </c>
      <c r="AN24" s="76" t="e">
        <f>AL24*AM24</f>
        <v>#REF!</v>
      </c>
      <c r="AO24" s="112"/>
      <c r="AQ24" s="99"/>
      <c r="AT24" s="98">
        <v>27849</v>
      </c>
      <c r="AU24" s="98">
        <f t="shared" si="19"/>
        <v>2320.75</v>
      </c>
    </row>
    <row r="25" spans="1:47" s="98" customFormat="1" ht="17.25" customHeight="1">
      <c r="A25" s="78"/>
      <c r="B25" s="136"/>
      <c r="C25" s="136" t="s">
        <v>61</v>
      </c>
      <c r="D25" s="137"/>
      <c r="E25" s="138"/>
      <c r="F25" s="139"/>
      <c r="G25" s="140"/>
      <c r="H25" s="141">
        <v>11500</v>
      </c>
      <c r="I25" s="142">
        <v>14500</v>
      </c>
      <c r="J25" s="142"/>
      <c r="K25" s="142"/>
      <c r="L25" s="142"/>
      <c r="M25" s="142"/>
      <c r="N25" s="142"/>
      <c r="O25" s="142">
        <v>14500</v>
      </c>
      <c r="P25" s="142"/>
      <c r="Q25" s="142"/>
      <c r="R25" s="143"/>
      <c r="S25" s="143"/>
      <c r="T25" s="106"/>
      <c r="U25" s="107"/>
      <c r="V25" s="108"/>
      <c r="W25" s="89"/>
      <c r="X25" s="90"/>
      <c r="Y25" s="90"/>
      <c r="Z25" s="144"/>
      <c r="AA25" s="145"/>
      <c r="AB25" s="145"/>
      <c r="AC25" s="146"/>
      <c r="AD25" s="146"/>
      <c r="AE25" s="146"/>
      <c r="AF25" s="147"/>
      <c r="AG25" s="112"/>
      <c r="AH25" s="148"/>
      <c r="AI25" s="147"/>
      <c r="AJ25" s="149"/>
      <c r="AK25" s="150"/>
      <c r="AL25" s="147"/>
      <c r="AM25" s="149"/>
      <c r="AN25" s="150"/>
      <c r="AO25" s="112"/>
      <c r="AQ25" s="127"/>
    </row>
    <row r="26" spans="1:47" s="98" customFormat="1" ht="17.25" customHeight="1">
      <c r="A26" s="78"/>
      <c r="B26" s="136"/>
      <c r="C26" s="151" t="s">
        <v>62</v>
      </c>
      <c r="D26" s="152"/>
      <c r="E26" s="153"/>
      <c r="F26" s="154"/>
      <c r="G26" s="155">
        <f>AA26</f>
        <v>1258288762.8571429</v>
      </c>
      <c r="H26" s="156">
        <f>AB26</f>
        <v>1149504717.2857141</v>
      </c>
      <c r="I26" s="157">
        <f>AC26</f>
        <v>1447450872.0428572</v>
      </c>
      <c r="J26" s="158"/>
      <c r="K26" s="159"/>
      <c r="L26" s="157">
        <f>AD26</f>
        <v>1003752218.2814555</v>
      </c>
      <c r="M26" s="158"/>
      <c r="N26" s="159"/>
      <c r="O26" s="157">
        <f>AE26</f>
        <v>26422.625726906608</v>
      </c>
      <c r="P26" s="158"/>
      <c r="Q26" s="159"/>
      <c r="R26" s="160"/>
      <c r="S26" s="160"/>
      <c r="T26" s="106"/>
      <c r="U26" s="107"/>
      <c r="V26" s="108"/>
      <c r="W26" s="89"/>
      <c r="X26" s="90"/>
      <c r="Y26" s="90"/>
      <c r="Z26" s="90"/>
      <c r="AA26" s="161">
        <f>SUM(AA9:AA24)</f>
        <v>1258288762.8571429</v>
      </c>
      <c r="AB26" s="161">
        <f>SUM(AB9:AB24)</f>
        <v>1149504717.2857141</v>
      </c>
      <c r="AC26" s="161">
        <f>SUM(AC9:AC24)</f>
        <v>1447450872.0428572</v>
      </c>
      <c r="AD26" s="161">
        <f>SUM(AD9:AD24)</f>
        <v>1003752218.2814555</v>
      </c>
      <c r="AE26" s="161">
        <f>SUM(AE9:AE24)</f>
        <v>26422.625726906608</v>
      </c>
      <c r="AF26" s="90"/>
      <c r="AG26" s="112"/>
      <c r="AH26" s="112"/>
      <c r="AI26" s="112"/>
      <c r="AJ26" s="112"/>
      <c r="AK26" s="97" t="e">
        <f>SUM(AK9:AK19)</f>
        <v>#REF!</v>
      </c>
      <c r="AL26" s="112"/>
      <c r="AM26" s="112"/>
      <c r="AN26" s="97" t="e">
        <f>SUM(AN9:AN19)</f>
        <v>#REF!</v>
      </c>
      <c r="AO26" s="112"/>
      <c r="AQ26" s="127"/>
      <c r="AT26" s="98">
        <v>19239</v>
      </c>
      <c r="AU26" s="98">
        <f t="shared" si="19"/>
        <v>1603.25</v>
      </c>
    </row>
    <row r="27" spans="1:47" s="98" customFormat="1" ht="17.25" customHeight="1">
      <c r="A27" s="78"/>
      <c r="B27" s="136"/>
      <c r="C27" s="136" t="s">
        <v>63</v>
      </c>
      <c r="D27" s="152"/>
      <c r="E27" s="138"/>
      <c r="F27" s="139"/>
      <c r="G27" s="162"/>
      <c r="H27" s="141">
        <f>H26-G26</f>
        <v>-108784045.57142878</v>
      </c>
      <c r="I27" s="157">
        <f>I26-H26</f>
        <v>297946154.75714302</v>
      </c>
      <c r="J27" s="158"/>
      <c r="K27" s="159"/>
      <c r="L27" s="157">
        <f>L26-H26</f>
        <v>-145752499.00425863</v>
      </c>
      <c r="M27" s="158"/>
      <c r="N27" s="159"/>
      <c r="O27" s="157">
        <f>O26-H26</f>
        <v>-1149478294.6599872</v>
      </c>
      <c r="P27" s="158"/>
      <c r="Q27" s="159"/>
      <c r="R27" s="160"/>
      <c r="S27" s="160"/>
      <c r="T27" s="106"/>
      <c r="U27" s="107"/>
      <c r="V27" s="108"/>
      <c r="W27" s="89"/>
      <c r="X27" s="90"/>
      <c r="Y27" s="90"/>
      <c r="Z27" s="90"/>
      <c r="AA27" s="90"/>
      <c r="AB27" s="90"/>
      <c r="AC27" s="142"/>
      <c r="AD27" s="90"/>
      <c r="AE27" s="90"/>
      <c r="AF27" s="90"/>
      <c r="AG27" s="112"/>
      <c r="AH27" s="112"/>
      <c r="AI27" s="112"/>
      <c r="AJ27" s="112"/>
      <c r="AK27" s="112"/>
      <c r="AL27" s="112"/>
      <c r="AM27" s="112"/>
      <c r="AN27" s="112"/>
      <c r="AO27" s="112"/>
      <c r="AQ27" s="127"/>
      <c r="AT27" s="98">
        <v>22859</v>
      </c>
      <c r="AU27" s="98">
        <f t="shared" si="19"/>
        <v>1904.9166666666667</v>
      </c>
    </row>
    <row r="28" spans="1:47" s="7" customFormat="1" ht="15" customHeight="1">
      <c r="A28" s="8"/>
      <c r="B28" s="163" t="s">
        <v>1</v>
      </c>
      <c r="C28" s="164"/>
      <c r="D28" s="164"/>
      <c r="E28" s="164"/>
      <c r="F28" s="164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6" t="s">
        <v>64</v>
      </c>
      <c r="U28" s="165"/>
      <c r="V28" s="167"/>
      <c r="W28" s="19"/>
      <c r="X28" s="9"/>
      <c r="Y28" s="9"/>
      <c r="Z28" s="9"/>
      <c r="AA28" s="9"/>
      <c r="AB28" s="9"/>
      <c r="AC28" s="165"/>
      <c r="AD28" s="165"/>
      <c r="AE28" s="165"/>
      <c r="AF28" s="9"/>
      <c r="AG28" s="7" t="s">
        <v>65</v>
      </c>
    </row>
    <row r="29" spans="1:47" s="7" customFormat="1" ht="8.25" customHeight="1">
      <c r="A29" s="168"/>
      <c r="B29" s="169"/>
      <c r="C29" s="6"/>
      <c r="D29" s="9"/>
      <c r="E29" s="9"/>
      <c r="F29" s="9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70"/>
      <c r="U29" s="18"/>
      <c r="V29" s="171"/>
      <c r="W29" s="19"/>
      <c r="X29" s="9"/>
      <c r="Y29" s="9"/>
      <c r="Z29" s="9"/>
      <c r="AA29" s="9"/>
      <c r="AB29" s="9"/>
      <c r="AC29" s="18"/>
      <c r="AD29" s="18"/>
      <c r="AE29" s="18"/>
      <c r="AF29" s="9"/>
      <c r="AG29" s="20"/>
      <c r="AH29" s="20"/>
      <c r="AI29" s="20"/>
      <c r="AJ29" s="20"/>
      <c r="AK29" s="20"/>
      <c r="AL29" s="20"/>
      <c r="AM29" s="20"/>
      <c r="AN29" s="20"/>
      <c r="AO29" s="20"/>
      <c r="AP29" s="172"/>
    </row>
    <row r="30" spans="1:47" s="7" customFormat="1" ht="8.25" customHeight="1">
      <c r="A30" s="168"/>
      <c r="B30" s="169"/>
      <c r="C30" s="9"/>
      <c r="D30" s="9"/>
      <c r="E30" s="9"/>
      <c r="F30" s="9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0"/>
      <c r="U30" s="18"/>
      <c r="V30" s="171"/>
      <c r="W30" s="19"/>
      <c r="X30" s="9"/>
      <c r="Y30" s="9"/>
      <c r="Z30" s="9"/>
      <c r="AA30" s="9"/>
      <c r="AB30" s="9"/>
      <c r="AC30" s="173"/>
      <c r="AD30" s="173"/>
      <c r="AE30" s="173"/>
      <c r="AF30" s="9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7" s="7" customFormat="1" ht="12" customHeight="1">
      <c r="A31" s="168"/>
      <c r="B31" s="174"/>
      <c r="C31" s="175"/>
      <c r="D31" s="175"/>
      <c r="E31" s="175"/>
      <c r="F31" s="175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7"/>
      <c r="U31" s="176"/>
      <c r="V31" s="178"/>
      <c r="W31" s="19"/>
      <c r="X31" s="9"/>
      <c r="Y31" s="9"/>
      <c r="Z31" s="9"/>
      <c r="AA31" s="9"/>
      <c r="AB31" s="9"/>
      <c r="AC31" s="176"/>
      <c r="AD31" s="176"/>
      <c r="AE31" s="176"/>
      <c r="AF31" s="9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7" s="7" customFormat="1" ht="15" customHeight="1">
      <c r="A32" s="168"/>
      <c r="B32" s="163" t="s">
        <v>66</v>
      </c>
      <c r="C32" s="164"/>
      <c r="D32" s="164"/>
      <c r="E32" s="164"/>
      <c r="F32" s="164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6" t="s">
        <v>64</v>
      </c>
      <c r="U32" s="165"/>
      <c r="V32" s="167"/>
      <c r="W32" s="19"/>
      <c r="X32" s="9"/>
      <c r="Y32" s="9"/>
      <c r="Z32" s="9"/>
      <c r="AA32" s="9"/>
      <c r="AB32" s="9"/>
      <c r="AC32" s="165"/>
      <c r="AD32" s="165"/>
      <c r="AE32" s="165"/>
      <c r="AF32" s="9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4" s="7" customFormat="1" ht="8.25" customHeight="1">
      <c r="A33" s="168"/>
      <c r="B33" s="169"/>
      <c r="C33" s="9"/>
      <c r="D33" s="9"/>
      <c r="E33" s="9"/>
      <c r="F33" s="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0"/>
      <c r="U33" s="18"/>
      <c r="V33" s="171"/>
      <c r="W33" s="19"/>
      <c r="X33" s="9"/>
      <c r="Y33" s="9"/>
      <c r="Z33" s="9"/>
      <c r="AA33" s="9"/>
      <c r="AB33" s="9"/>
      <c r="AC33" s="179"/>
      <c r="AD33" s="179"/>
      <c r="AE33" s="179"/>
      <c r="AF33" s="9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4" s="7" customFormat="1" ht="8.25" customHeight="1">
      <c r="A34" s="168"/>
      <c r="B34" s="169"/>
      <c r="C34" s="9"/>
      <c r="D34" s="9"/>
      <c r="E34" s="9"/>
      <c r="F34" s="9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70"/>
      <c r="U34" s="18"/>
      <c r="V34" s="171"/>
      <c r="W34" s="19"/>
      <c r="X34" s="9"/>
      <c r="Y34" s="9"/>
      <c r="Z34" s="9"/>
      <c r="AA34" s="9"/>
      <c r="AB34" s="9"/>
      <c r="AC34" s="18"/>
      <c r="AD34" s="18"/>
      <c r="AE34" s="18"/>
      <c r="AF34" s="9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4" s="7" customFormat="1" ht="12" customHeight="1">
      <c r="A35" s="168"/>
      <c r="B35" s="174"/>
      <c r="C35" s="175"/>
      <c r="D35" s="175"/>
      <c r="E35" s="175"/>
      <c r="F35" s="175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7"/>
      <c r="U35" s="176"/>
      <c r="V35" s="178"/>
      <c r="W35" s="19"/>
      <c r="X35" s="9"/>
      <c r="Y35" s="9"/>
      <c r="Z35" s="9"/>
      <c r="AA35" s="9"/>
      <c r="AB35" s="9"/>
      <c r="AC35" s="176"/>
      <c r="AD35" s="176"/>
      <c r="AE35" s="176"/>
      <c r="AF35" s="9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4" s="7" customFormat="1" ht="15" customHeight="1">
      <c r="A36" s="168"/>
      <c r="B36" s="163" t="s">
        <v>67</v>
      </c>
      <c r="C36" s="164"/>
      <c r="D36" s="164"/>
      <c r="E36" s="164"/>
      <c r="F36" s="164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6" t="s">
        <v>64</v>
      </c>
      <c r="U36" s="165"/>
      <c r="V36" s="167"/>
      <c r="W36" s="19"/>
      <c r="X36" s="9"/>
      <c r="Y36" s="9"/>
      <c r="Z36" s="9"/>
      <c r="AA36" s="9"/>
      <c r="AB36" s="9"/>
      <c r="AC36" s="165"/>
      <c r="AD36" s="165"/>
      <c r="AE36" s="165"/>
      <c r="AF36" s="9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4" s="7" customFormat="1" ht="8.25" customHeight="1">
      <c r="A37" s="168"/>
      <c r="B37" s="169"/>
      <c r="C37" s="9"/>
      <c r="D37" s="9"/>
      <c r="E37" s="9"/>
      <c r="F37" s="9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70"/>
      <c r="U37" s="18"/>
      <c r="V37" s="171"/>
      <c r="W37" s="19"/>
      <c r="X37" s="9"/>
      <c r="Y37" s="9"/>
      <c r="Z37" s="9"/>
      <c r="AA37" s="9"/>
      <c r="AB37" s="9"/>
      <c r="AC37" s="18"/>
      <c r="AD37" s="18"/>
      <c r="AE37" s="18"/>
      <c r="AF37" s="9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4" s="7" customFormat="1" ht="8.25" customHeight="1">
      <c r="A38" s="168"/>
      <c r="B38" s="169"/>
      <c r="C38" s="9"/>
      <c r="D38" s="9"/>
      <c r="E38" s="9"/>
      <c r="F38" s="9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70"/>
      <c r="U38" s="18"/>
      <c r="V38" s="171"/>
      <c r="W38" s="19"/>
      <c r="X38" s="9"/>
      <c r="Y38" s="9"/>
      <c r="Z38" s="9"/>
      <c r="AA38" s="9"/>
      <c r="AB38" s="9"/>
      <c r="AC38" s="18"/>
      <c r="AD38" s="18"/>
      <c r="AE38" s="18"/>
      <c r="AF38" s="9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4" s="7" customFormat="1" ht="12" customHeight="1">
      <c r="A39" s="168"/>
      <c r="B39" s="174"/>
      <c r="C39" s="175"/>
      <c r="D39" s="175"/>
      <c r="E39" s="175"/>
      <c r="F39" s="175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7"/>
      <c r="U39" s="176"/>
      <c r="V39" s="178"/>
      <c r="W39" s="19"/>
      <c r="X39" s="9"/>
      <c r="Y39" s="9"/>
      <c r="Z39" s="9"/>
      <c r="AA39" s="9"/>
      <c r="AB39" s="9"/>
      <c r="AC39" s="176"/>
      <c r="AD39" s="176"/>
      <c r="AE39" s="176"/>
      <c r="AF39" s="9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4" s="7" customFormat="1" ht="6" customHeight="1" thickBot="1">
      <c r="A40" s="180"/>
      <c r="B40" s="181"/>
      <c r="C40" s="181"/>
      <c r="D40" s="181"/>
      <c r="E40" s="181"/>
      <c r="F40" s="181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3"/>
      <c r="X40" s="9"/>
      <c r="Y40" s="9"/>
      <c r="Z40" s="9"/>
      <c r="AA40" s="9"/>
      <c r="AB40" s="9"/>
      <c r="AC40" s="182"/>
      <c r="AD40" s="182"/>
      <c r="AE40" s="182"/>
      <c r="AF40" s="9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4" s="7" customFormat="1" ht="12.9" thickTop="1"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AC41" s="172"/>
      <c r="AD41" s="172"/>
      <c r="AE41" s="172"/>
    </row>
    <row r="42" spans="1:44" s="7" customFormat="1"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AC42" s="172"/>
      <c r="AD42" s="172"/>
      <c r="AE42" s="172"/>
    </row>
    <row r="43" spans="1:44" s="7" customFormat="1"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AC43" s="172"/>
      <c r="AD43" s="172"/>
      <c r="AE43" s="172"/>
    </row>
    <row r="44" spans="1:44" s="7" customFormat="1">
      <c r="D44" s="58"/>
      <c r="E44" s="58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AC44" s="172"/>
      <c r="AD44" s="172"/>
      <c r="AE44" s="172"/>
      <c r="AP44"/>
      <c r="AQ44"/>
      <c r="AR44"/>
    </row>
    <row r="45" spans="1:44" s="7" customFormat="1">
      <c r="D45" s="58"/>
      <c r="E45" s="58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72"/>
      <c r="U45" s="172"/>
      <c r="V45" s="172"/>
      <c r="AC45" s="13"/>
      <c r="AD45" s="13"/>
      <c r="AE45" s="13"/>
      <c r="AP45"/>
      <c r="AQ45"/>
      <c r="AR45"/>
    </row>
    <row r="46" spans="1:44" s="7" customFormat="1">
      <c r="D46" s="58" t="s">
        <v>58</v>
      </c>
      <c r="E46" s="58" t="s">
        <v>68</v>
      </c>
      <c r="F46" s="7" t="s">
        <v>57</v>
      </c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AC46" s="172"/>
      <c r="AD46" s="172"/>
      <c r="AE46" s="172"/>
      <c r="AP46"/>
      <c r="AQ46"/>
      <c r="AR46"/>
    </row>
    <row r="47" spans="1:44" s="7" customFormat="1">
      <c r="D47" s="58" t="s">
        <v>60</v>
      </c>
      <c r="E47" s="58" t="s">
        <v>68</v>
      </c>
      <c r="F47" s="7" t="s">
        <v>59</v>
      </c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AC47" s="172"/>
      <c r="AD47" s="172"/>
      <c r="AE47" s="172"/>
      <c r="AP47"/>
      <c r="AQ47"/>
      <c r="AR47"/>
    </row>
    <row r="48" spans="1:44" s="7" customFormat="1">
      <c r="D48" s="58"/>
      <c r="E48" s="58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AC48" s="172"/>
      <c r="AD48" s="172"/>
      <c r="AE48" s="172"/>
      <c r="AP48"/>
      <c r="AQ48"/>
      <c r="AR48"/>
    </row>
    <row r="49" spans="1:44" s="7" customFormat="1">
      <c r="C49" s="7" t="s">
        <v>53</v>
      </c>
      <c r="D49" s="58" t="s">
        <v>54</v>
      </c>
      <c r="E49" s="58" t="str">
        <f t="shared" ref="E49:E63" si="20">VLOOKUP(C49,C$9:D$23,2,FALSE)</f>
        <v>HANDLE, JOINT PJ</v>
      </c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AC49" s="172"/>
      <c r="AD49" s="172"/>
      <c r="AE49" s="172"/>
      <c r="AP49"/>
      <c r="AQ49"/>
      <c r="AR49"/>
    </row>
    <row r="50" spans="1:44" s="7" customFormat="1">
      <c r="C50" s="7" t="s">
        <v>51</v>
      </c>
      <c r="D50" s="58" t="s">
        <v>52</v>
      </c>
      <c r="E50" s="58" t="str">
        <f t="shared" si="20"/>
        <v>BASE, D40L</v>
      </c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AC50" s="172"/>
      <c r="AD50" s="172"/>
      <c r="AE50" s="172"/>
      <c r="AP50"/>
      <c r="AQ50"/>
      <c r="AR50"/>
    </row>
    <row r="51" spans="1:44" s="7" customFormat="1">
      <c r="C51" s="7" t="s">
        <v>59</v>
      </c>
      <c r="D51" s="58" t="s">
        <v>60</v>
      </c>
      <c r="E51" s="58" t="str">
        <f t="shared" si="20"/>
        <v>BASE, D55L</v>
      </c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AC51" s="172"/>
      <c r="AD51" s="172"/>
      <c r="AE51" s="172"/>
      <c r="AP51"/>
      <c r="AQ51"/>
      <c r="AR51"/>
    </row>
    <row r="52" spans="1:44" s="7" customFormat="1">
      <c r="C52" s="7" t="s">
        <v>30</v>
      </c>
      <c r="D52" s="58" t="s">
        <v>31</v>
      </c>
      <c r="E52" s="58" t="str">
        <f t="shared" si="20"/>
        <v>LOWER ARM, D01N</v>
      </c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AC52" s="172"/>
      <c r="AD52" s="172"/>
      <c r="AE52" s="172"/>
      <c r="AP52"/>
      <c r="AQ52"/>
      <c r="AR52"/>
    </row>
    <row r="53" spans="1:44" s="7" customFormat="1">
      <c r="C53" s="7" t="s">
        <v>43</v>
      </c>
      <c r="D53" s="58" t="s">
        <v>44</v>
      </c>
      <c r="E53" s="58" t="str">
        <f t="shared" si="20"/>
        <v>LOWER ARM, 800A</v>
      </c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AC53" s="172"/>
      <c r="AD53" s="172"/>
      <c r="AE53" s="172"/>
      <c r="AP53"/>
      <c r="AQ53"/>
      <c r="AR53"/>
    </row>
    <row r="54" spans="1:44" s="7" customFormat="1">
      <c r="C54" s="7" t="s">
        <v>49</v>
      </c>
      <c r="D54" s="58" t="s">
        <v>50</v>
      </c>
      <c r="E54" s="58" t="str">
        <f t="shared" si="20"/>
        <v>LOWER ARM, D40L</v>
      </c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AC54" s="172"/>
      <c r="AD54" s="172"/>
      <c r="AE54" s="172"/>
      <c r="AP54"/>
      <c r="AQ54"/>
      <c r="AR54"/>
    </row>
    <row r="55" spans="1:44" s="7" customFormat="1">
      <c r="C55" s="7" t="s">
        <v>34</v>
      </c>
      <c r="D55" s="58" t="s">
        <v>35</v>
      </c>
      <c r="E55" s="58" t="str">
        <f t="shared" si="20"/>
        <v>LOWER ARM, D80N</v>
      </c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AC55" s="172"/>
      <c r="AD55" s="172"/>
      <c r="AE55" s="172"/>
      <c r="AP55"/>
      <c r="AQ55"/>
      <c r="AR55"/>
    </row>
    <row r="56" spans="1:44">
      <c r="C56" s="7" t="s">
        <v>38</v>
      </c>
      <c r="D56" s="58" t="s">
        <v>39</v>
      </c>
      <c r="E56" s="58" t="str">
        <f t="shared" si="20"/>
        <v>LOWER ARM, SAPH PJ</v>
      </c>
    </row>
    <row r="57" spans="1:44">
      <c r="C57" s="7" t="s">
        <v>57</v>
      </c>
      <c r="D57" s="58" t="s">
        <v>58</v>
      </c>
      <c r="E57" s="58" t="str">
        <f t="shared" si="20"/>
        <v>SUPPORT, D55L</v>
      </c>
    </row>
    <row r="58" spans="1:44" s="185" customFormat="1">
      <c r="A58" s="7"/>
      <c r="B58" s="7"/>
      <c r="C58" s="46" t="s">
        <v>55</v>
      </c>
      <c r="D58" s="46" t="s">
        <v>56</v>
      </c>
      <c r="E58" s="58" t="str">
        <f t="shared" si="20"/>
        <v>SUPPORT, YHA</v>
      </c>
      <c r="F58" s="46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72"/>
      <c r="U58" s="172"/>
      <c r="V58" s="172"/>
      <c r="W58" s="7"/>
      <c r="X58" s="7"/>
      <c r="Y58" s="7"/>
      <c r="Z58" s="7"/>
      <c r="AA58" s="7"/>
      <c r="AB58" s="7"/>
      <c r="AC58" s="184"/>
      <c r="AD58" s="184"/>
      <c r="AE58" s="184"/>
      <c r="AF58" s="7"/>
      <c r="AG58" s="172"/>
      <c r="AH58" s="172"/>
      <c r="AI58" s="172"/>
      <c r="AJ58" s="172"/>
      <c r="AK58" s="172"/>
      <c r="AL58" s="172"/>
      <c r="AM58" s="172"/>
      <c r="AN58" s="172"/>
      <c r="AO58" s="172"/>
    </row>
    <row r="59" spans="1:44" s="185" customFormat="1">
      <c r="A59" s="7"/>
      <c r="B59" s="7"/>
      <c r="C59" s="46" t="s">
        <v>32</v>
      </c>
      <c r="D59" s="46" t="s">
        <v>33</v>
      </c>
      <c r="E59" s="58" t="str">
        <f t="shared" si="20"/>
        <v>UPPER ARM, D01N</v>
      </c>
      <c r="F59" s="46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72"/>
      <c r="U59" s="172"/>
      <c r="V59" s="172"/>
      <c r="W59" s="7"/>
      <c r="X59" s="7"/>
      <c r="Y59" s="7"/>
      <c r="Z59" s="7"/>
      <c r="AA59" s="7"/>
      <c r="AB59" s="7"/>
      <c r="AC59" s="184"/>
      <c r="AD59" s="184"/>
      <c r="AE59" s="184"/>
      <c r="AF59" s="7"/>
      <c r="AG59" s="172"/>
      <c r="AH59" s="172"/>
      <c r="AI59" s="172"/>
      <c r="AJ59" s="172"/>
      <c r="AK59" s="172"/>
      <c r="AL59" s="172"/>
      <c r="AM59" s="172"/>
      <c r="AN59" s="172"/>
      <c r="AO59" s="172"/>
    </row>
    <row r="60" spans="1:44" s="185" customFormat="1">
      <c r="A60" s="7"/>
      <c r="B60" s="7"/>
      <c r="C60" s="46" t="s">
        <v>45</v>
      </c>
      <c r="D60" s="46" t="s">
        <v>46</v>
      </c>
      <c r="E60" s="58" t="str">
        <f t="shared" si="20"/>
        <v>UPPER ARM, 800A</v>
      </c>
      <c r="F60" s="46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72"/>
      <c r="U60" s="172"/>
      <c r="V60" s="172"/>
      <c r="W60" s="7"/>
      <c r="X60" s="7"/>
      <c r="Y60" s="7"/>
      <c r="Z60" s="7"/>
      <c r="AA60" s="7"/>
      <c r="AB60" s="7"/>
      <c r="AC60" s="184"/>
      <c r="AD60" s="184"/>
      <c r="AE60" s="184"/>
      <c r="AF60" s="7"/>
      <c r="AG60" s="172"/>
      <c r="AH60" s="172"/>
      <c r="AI60" s="172"/>
      <c r="AJ60" s="172"/>
      <c r="AK60" s="172"/>
      <c r="AL60" s="172"/>
      <c r="AM60" s="172"/>
      <c r="AN60" s="172"/>
      <c r="AO60" s="172"/>
    </row>
    <row r="61" spans="1:44" s="185" customFormat="1">
      <c r="A61" s="7"/>
      <c r="B61" s="7"/>
      <c r="C61" s="46" t="s">
        <v>47</v>
      </c>
      <c r="D61" s="46" t="s">
        <v>48</v>
      </c>
      <c r="E61" s="58" t="str">
        <f t="shared" si="20"/>
        <v>UPPER ARM, D40L</v>
      </c>
      <c r="F61" s="46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72"/>
      <c r="U61" s="172"/>
      <c r="V61" s="172"/>
      <c r="W61" s="7"/>
      <c r="X61" s="7"/>
      <c r="Y61" s="7"/>
      <c r="Z61" s="7"/>
      <c r="AA61" s="7"/>
      <c r="AB61" s="7"/>
      <c r="AC61" s="184"/>
      <c r="AD61" s="184"/>
      <c r="AE61" s="184"/>
      <c r="AF61" s="7"/>
      <c r="AG61" s="172"/>
      <c r="AH61" s="172"/>
      <c r="AI61" s="172"/>
      <c r="AJ61" s="172"/>
      <c r="AK61" s="172"/>
      <c r="AL61" s="172"/>
      <c r="AM61" s="172"/>
      <c r="AN61" s="172"/>
      <c r="AO61" s="172"/>
    </row>
    <row r="62" spans="1:44" s="185" customFormat="1">
      <c r="A62" s="7"/>
      <c r="B62" s="7"/>
      <c r="C62" s="46" t="s">
        <v>36</v>
      </c>
      <c r="D62" s="46" t="s">
        <v>37</v>
      </c>
      <c r="E62" s="58" t="str">
        <f t="shared" si="20"/>
        <v>UPPER ARM, D80N</v>
      </c>
      <c r="F62" s="46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72"/>
      <c r="U62" s="172"/>
      <c r="V62" s="172"/>
      <c r="W62" s="7"/>
      <c r="X62" s="7"/>
      <c r="Y62" s="7"/>
      <c r="Z62" s="7"/>
      <c r="AA62" s="7"/>
      <c r="AB62" s="7"/>
      <c r="AC62" s="184"/>
      <c r="AD62" s="184"/>
      <c r="AE62" s="184"/>
      <c r="AF62" s="7"/>
      <c r="AG62" s="172"/>
      <c r="AH62" s="172"/>
      <c r="AI62" s="172"/>
      <c r="AJ62" s="172"/>
      <c r="AK62" s="172"/>
      <c r="AL62" s="172"/>
      <c r="AM62" s="172"/>
      <c r="AN62" s="172"/>
      <c r="AO62" s="172"/>
    </row>
    <row r="63" spans="1:44" s="185" customFormat="1">
      <c r="A63" s="7"/>
      <c r="B63" s="7"/>
      <c r="C63" s="46" t="s">
        <v>40</v>
      </c>
      <c r="D63" s="46" t="s">
        <v>41</v>
      </c>
      <c r="E63" s="58" t="str">
        <f t="shared" si="20"/>
        <v>UPPER ARM, SAPH PJ</v>
      </c>
      <c r="F63" s="46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72"/>
      <c r="U63" s="172"/>
      <c r="V63" s="172"/>
      <c r="W63" s="7"/>
      <c r="X63" s="7"/>
      <c r="Y63" s="7"/>
      <c r="Z63" s="7"/>
      <c r="AA63" s="7"/>
      <c r="AB63" s="7"/>
      <c r="AC63" s="184"/>
      <c r="AD63" s="184"/>
      <c r="AE63" s="184"/>
      <c r="AF63" s="7"/>
      <c r="AG63" s="172"/>
      <c r="AH63" s="172"/>
      <c r="AI63" s="172"/>
      <c r="AJ63" s="172"/>
      <c r="AK63" s="172"/>
      <c r="AL63" s="172"/>
      <c r="AM63" s="172"/>
      <c r="AN63" s="172"/>
      <c r="AO63" s="172"/>
    </row>
    <row r="64" spans="1:44" s="185" customFormat="1">
      <c r="A64" s="7"/>
      <c r="B64" s="7"/>
      <c r="C64" s="46"/>
      <c r="D64" s="46"/>
      <c r="E64" s="46"/>
      <c r="F64" s="46"/>
      <c r="G64" s="184"/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72"/>
      <c r="U64" s="172"/>
      <c r="V64" s="172"/>
      <c r="W64" s="7"/>
      <c r="X64" s="7"/>
      <c r="Y64" s="7"/>
      <c r="Z64" s="7"/>
      <c r="AA64" s="7"/>
      <c r="AB64" s="7"/>
      <c r="AC64" s="184"/>
      <c r="AD64" s="184"/>
      <c r="AE64" s="184"/>
      <c r="AF64" s="7"/>
      <c r="AG64" s="172"/>
      <c r="AH64" s="172"/>
      <c r="AI64" s="172"/>
      <c r="AJ64" s="172"/>
      <c r="AK64" s="172"/>
      <c r="AL64" s="172"/>
      <c r="AM64" s="172"/>
      <c r="AN64" s="172"/>
      <c r="AO64" s="172"/>
    </row>
    <row r="65" spans="1:41" s="185" customFormat="1">
      <c r="A65" s="7"/>
      <c r="B65" s="7"/>
      <c r="C65" s="46"/>
      <c r="D65" s="46"/>
      <c r="E65" s="46"/>
      <c r="F65" s="46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72"/>
      <c r="U65" s="172"/>
      <c r="V65" s="172"/>
      <c r="W65" s="7"/>
      <c r="X65" s="7"/>
      <c r="Y65" s="7"/>
      <c r="Z65" s="7"/>
      <c r="AA65" s="7"/>
      <c r="AB65" s="7"/>
      <c r="AC65" s="184"/>
      <c r="AD65" s="184"/>
      <c r="AE65" s="184"/>
      <c r="AF65" s="7"/>
      <c r="AG65" s="172"/>
      <c r="AH65" s="172"/>
      <c r="AI65" s="172"/>
      <c r="AJ65" s="172"/>
      <c r="AK65" s="172"/>
      <c r="AL65" s="172"/>
      <c r="AM65" s="172"/>
      <c r="AN65" s="172"/>
      <c r="AO65" s="172"/>
    </row>
    <row r="66" spans="1:41" s="185" customFormat="1">
      <c r="A66" s="7"/>
      <c r="B66" s="7"/>
      <c r="C66" s="46"/>
      <c r="D66" s="46"/>
      <c r="E66" s="46"/>
      <c r="F66" s="46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72"/>
      <c r="U66" s="172"/>
      <c r="V66" s="172"/>
      <c r="W66" s="7"/>
      <c r="X66" s="7"/>
      <c r="Y66" s="7"/>
      <c r="Z66" s="7"/>
      <c r="AA66" s="7"/>
      <c r="AB66" s="7"/>
      <c r="AC66" s="184"/>
      <c r="AD66" s="184"/>
      <c r="AE66" s="184"/>
      <c r="AF66" s="7"/>
      <c r="AG66" s="172"/>
      <c r="AH66" s="172"/>
      <c r="AI66" s="172"/>
      <c r="AJ66" s="172"/>
      <c r="AK66" s="172"/>
      <c r="AL66" s="172"/>
      <c r="AM66" s="172"/>
      <c r="AN66" s="172"/>
      <c r="AO66" s="172"/>
    </row>
    <row r="67" spans="1:41" s="185" customFormat="1">
      <c r="A67" s="7"/>
      <c r="B67" s="7"/>
      <c r="C67" s="58"/>
      <c r="D67" s="58"/>
      <c r="E67" s="58"/>
      <c r="F67" s="58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72"/>
      <c r="U67" s="172"/>
      <c r="V67" s="172"/>
      <c r="W67" s="7"/>
      <c r="X67" s="7"/>
      <c r="Y67" s="7"/>
      <c r="Z67" s="7"/>
      <c r="AA67" s="7"/>
      <c r="AB67" s="7"/>
      <c r="AC67" s="184"/>
      <c r="AD67" s="184"/>
      <c r="AE67" s="184"/>
      <c r="AF67" s="7"/>
      <c r="AG67" s="172"/>
      <c r="AH67" s="172"/>
      <c r="AI67" s="172"/>
      <c r="AJ67" s="172"/>
      <c r="AK67" s="172"/>
      <c r="AL67" s="172"/>
      <c r="AM67" s="172"/>
      <c r="AN67" s="172"/>
      <c r="AO67" s="172"/>
    </row>
    <row r="68" spans="1:41" s="185" customFormat="1">
      <c r="A68" s="7"/>
      <c r="B68" s="7"/>
      <c r="C68" s="46"/>
      <c r="D68" s="46"/>
      <c r="E68" s="46"/>
      <c r="F68" s="46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72"/>
      <c r="U68" s="172"/>
      <c r="V68" s="172"/>
      <c r="W68" s="7"/>
      <c r="X68" s="7"/>
      <c r="Y68" s="7"/>
      <c r="Z68" s="7"/>
      <c r="AA68" s="7"/>
      <c r="AB68" s="7"/>
      <c r="AC68" s="184"/>
      <c r="AD68" s="184"/>
      <c r="AE68" s="184"/>
      <c r="AF68" s="7"/>
      <c r="AG68" s="172"/>
      <c r="AH68" s="172"/>
      <c r="AI68" s="172"/>
      <c r="AJ68" s="172"/>
      <c r="AK68" s="172"/>
      <c r="AL68" s="172"/>
      <c r="AM68" s="172"/>
      <c r="AN68" s="172"/>
      <c r="AO68" s="172"/>
    </row>
    <row r="69" spans="1:41" s="185" customFormat="1">
      <c r="A69" s="7"/>
      <c r="B69" s="7"/>
      <c r="C69" s="46"/>
      <c r="D69" s="46"/>
      <c r="E69" s="46"/>
      <c r="F69" s="46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72"/>
      <c r="U69" s="172"/>
      <c r="V69" s="172"/>
      <c r="W69" s="7"/>
      <c r="X69" s="7"/>
      <c r="Y69" s="7"/>
      <c r="Z69" s="7"/>
      <c r="AA69" s="7"/>
      <c r="AB69" s="7"/>
      <c r="AC69" s="184"/>
      <c r="AD69" s="184"/>
      <c r="AE69" s="184"/>
      <c r="AF69" s="7"/>
      <c r="AG69" s="172"/>
      <c r="AH69" s="172"/>
      <c r="AI69" s="172"/>
      <c r="AJ69" s="172"/>
      <c r="AK69" s="172"/>
      <c r="AL69" s="172"/>
      <c r="AM69" s="172"/>
      <c r="AN69" s="172"/>
      <c r="AO69" s="172"/>
    </row>
    <row r="70" spans="1:41" s="185" customFormat="1">
      <c r="A70" s="7"/>
      <c r="B70" s="7"/>
      <c r="C70" s="46"/>
      <c r="D70" s="46"/>
      <c r="E70" s="46"/>
      <c r="F70" s="46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72"/>
      <c r="U70" s="172"/>
      <c r="V70" s="172"/>
      <c r="W70" s="7"/>
      <c r="X70" s="7"/>
      <c r="Y70" s="7"/>
      <c r="Z70" s="7"/>
      <c r="AA70" s="7"/>
      <c r="AB70" s="7"/>
      <c r="AC70" s="184"/>
      <c r="AD70" s="184"/>
      <c r="AE70" s="184"/>
      <c r="AF70" s="7"/>
      <c r="AG70" s="172"/>
      <c r="AH70" s="172"/>
      <c r="AI70" s="172"/>
      <c r="AJ70" s="172"/>
      <c r="AK70" s="172"/>
      <c r="AL70" s="172"/>
      <c r="AM70" s="172"/>
      <c r="AN70" s="172"/>
      <c r="AO70" s="172"/>
    </row>
    <row r="71" spans="1:41" s="185" customFormat="1">
      <c r="A71" s="7"/>
      <c r="B71" s="7"/>
      <c r="C71" s="46"/>
      <c r="D71" s="46"/>
      <c r="E71" s="46"/>
      <c r="F71" s="46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72"/>
      <c r="U71" s="172"/>
      <c r="V71" s="172"/>
      <c r="W71" s="7"/>
      <c r="X71" s="7"/>
      <c r="Y71" s="7"/>
      <c r="Z71" s="7"/>
      <c r="AA71" s="7"/>
      <c r="AB71" s="7"/>
      <c r="AC71" s="184"/>
      <c r="AD71" s="184"/>
      <c r="AE71" s="184"/>
      <c r="AF71" s="7"/>
      <c r="AG71" s="172"/>
      <c r="AH71" s="172"/>
      <c r="AI71" s="172"/>
      <c r="AJ71" s="172"/>
      <c r="AK71" s="172"/>
      <c r="AL71" s="172"/>
      <c r="AM71" s="172"/>
      <c r="AN71" s="172"/>
      <c r="AO71" s="172"/>
    </row>
    <row r="72" spans="1:41" s="185" customFormat="1">
      <c r="A72" s="7"/>
      <c r="B72" s="7"/>
      <c r="C72" s="46"/>
      <c r="D72" s="46"/>
      <c r="E72" s="46"/>
      <c r="F72" s="46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72"/>
      <c r="U72" s="172"/>
      <c r="V72" s="172"/>
      <c r="W72" s="7"/>
      <c r="X72" s="7"/>
      <c r="Y72" s="7"/>
      <c r="Z72" s="7"/>
      <c r="AA72" s="7"/>
      <c r="AB72" s="7"/>
      <c r="AC72" s="184"/>
      <c r="AD72" s="184"/>
      <c r="AE72" s="184"/>
      <c r="AF72" s="7"/>
      <c r="AG72" s="172"/>
      <c r="AH72" s="172"/>
      <c r="AI72" s="172"/>
      <c r="AJ72" s="172"/>
      <c r="AK72" s="172"/>
      <c r="AL72" s="172"/>
      <c r="AM72" s="172"/>
      <c r="AN72" s="172"/>
      <c r="AO72" s="172"/>
    </row>
    <row r="73" spans="1:41" s="185" customFormat="1">
      <c r="A73" s="7"/>
      <c r="B73" s="7"/>
      <c r="C73" s="46"/>
      <c r="D73" s="46"/>
      <c r="E73" s="46"/>
      <c r="F73" s="46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72"/>
      <c r="U73" s="172"/>
      <c r="V73" s="172"/>
      <c r="W73" s="7"/>
      <c r="X73" s="7"/>
      <c r="Y73" s="7"/>
      <c r="Z73" s="7"/>
      <c r="AA73" s="7"/>
      <c r="AB73" s="7"/>
      <c r="AC73" s="184"/>
      <c r="AD73" s="184"/>
      <c r="AE73" s="184"/>
      <c r="AF73" s="7"/>
      <c r="AG73" s="172"/>
      <c r="AH73" s="172"/>
      <c r="AI73" s="172"/>
      <c r="AJ73" s="172"/>
      <c r="AK73" s="172"/>
      <c r="AL73" s="172"/>
      <c r="AM73" s="172"/>
      <c r="AN73" s="172"/>
      <c r="AO73" s="172"/>
    </row>
    <row r="74" spans="1:41" s="185" customFormat="1">
      <c r="A74" s="7"/>
      <c r="B74" s="7"/>
      <c r="C74" s="46"/>
      <c r="D74" s="46"/>
      <c r="E74" s="46"/>
      <c r="F74" s="46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72"/>
      <c r="U74" s="172"/>
      <c r="V74" s="172"/>
      <c r="W74" s="7"/>
      <c r="X74" s="7"/>
      <c r="Y74" s="7"/>
      <c r="Z74" s="7"/>
      <c r="AA74" s="7"/>
      <c r="AB74" s="7"/>
      <c r="AC74" s="184"/>
      <c r="AD74" s="184"/>
      <c r="AE74" s="184"/>
      <c r="AF74" s="7"/>
      <c r="AG74" s="172"/>
      <c r="AH74" s="172"/>
      <c r="AI74" s="172"/>
      <c r="AJ74" s="172"/>
      <c r="AK74" s="172"/>
      <c r="AL74" s="172"/>
      <c r="AM74" s="172"/>
      <c r="AN74" s="172"/>
      <c r="AO74" s="172"/>
    </row>
    <row r="75" spans="1:41" s="185" customFormat="1">
      <c r="A75" s="7"/>
      <c r="B75" s="7"/>
      <c r="C75" s="46"/>
      <c r="D75" s="46"/>
      <c r="E75" s="46"/>
      <c r="F75" s="46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72"/>
      <c r="U75" s="172"/>
      <c r="V75" s="172"/>
      <c r="W75" s="7"/>
      <c r="X75" s="7"/>
      <c r="Y75" s="7"/>
      <c r="Z75" s="7"/>
      <c r="AA75" s="7"/>
      <c r="AB75" s="7"/>
      <c r="AC75" s="184"/>
      <c r="AD75" s="184"/>
      <c r="AE75" s="184"/>
      <c r="AF75" s="7"/>
      <c r="AG75" s="172"/>
      <c r="AH75" s="172"/>
      <c r="AI75" s="172"/>
      <c r="AJ75" s="172"/>
      <c r="AK75" s="172"/>
      <c r="AL75" s="172"/>
      <c r="AM75" s="172"/>
      <c r="AN75" s="172"/>
      <c r="AO75" s="172"/>
    </row>
    <row r="76" spans="1:41" s="185" customFormat="1">
      <c r="A76" s="7"/>
      <c r="B76" s="7"/>
      <c r="C76" s="46"/>
      <c r="D76" s="46"/>
      <c r="E76" s="46"/>
      <c r="F76" s="46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72"/>
      <c r="U76" s="172"/>
      <c r="V76" s="172"/>
      <c r="W76" s="7"/>
      <c r="X76" s="7"/>
      <c r="Y76" s="7"/>
      <c r="Z76" s="7"/>
      <c r="AA76" s="7"/>
      <c r="AB76" s="7"/>
      <c r="AC76" s="184"/>
      <c r="AD76" s="184"/>
      <c r="AE76" s="184"/>
      <c r="AF76" s="7"/>
      <c r="AG76" s="172"/>
      <c r="AH76" s="172"/>
      <c r="AI76" s="172"/>
      <c r="AJ76" s="172"/>
      <c r="AK76" s="172"/>
      <c r="AL76" s="172"/>
      <c r="AM76" s="172"/>
      <c r="AN76" s="172"/>
      <c r="AO76" s="172"/>
    </row>
    <row r="77" spans="1:41" s="185" customFormat="1">
      <c r="A77" s="7"/>
      <c r="B77" s="7"/>
      <c r="C77" s="46"/>
      <c r="D77" s="46"/>
      <c r="E77" s="46"/>
      <c r="F77" s="46"/>
      <c r="G77" s="184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72"/>
      <c r="U77" s="172"/>
      <c r="V77" s="172"/>
      <c r="W77" s="7"/>
      <c r="X77" s="7"/>
      <c r="Y77" s="7"/>
      <c r="Z77" s="7"/>
      <c r="AA77" s="7"/>
      <c r="AB77" s="7"/>
      <c r="AC77" s="184"/>
      <c r="AD77" s="184"/>
      <c r="AE77" s="184"/>
      <c r="AF77" s="7"/>
      <c r="AG77" s="172"/>
      <c r="AH77" s="172"/>
      <c r="AI77" s="172"/>
      <c r="AJ77" s="172"/>
      <c r="AK77" s="172"/>
      <c r="AL77" s="172"/>
      <c r="AM77" s="172"/>
      <c r="AN77" s="172"/>
      <c r="AO77" s="172"/>
    </row>
    <row r="78" spans="1:41" s="185" customFormat="1">
      <c r="A78" s="7"/>
      <c r="B78" s="7"/>
      <c r="C78" s="58"/>
      <c r="D78" s="58"/>
      <c r="E78" s="58"/>
      <c r="F78" s="58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72"/>
      <c r="U78" s="172"/>
      <c r="V78" s="172"/>
      <c r="W78" s="7"/>
      <c r="X78" s="7"/>
      <c r="Y78" s="7"/>
      <c r="Z78" s="7"/>
      <c r="AA78" s="7"/>
      <c r="AB78" s="7"/>
      <c r="AC78" s="184"/>
      <c r="AD78" s="184"/>
      <c r="AE78" s="184"/>
      <c r="AF78" s="7"/>
      <c r="AG78" s="172"/>
      <c r="AH78" s="172"/>
      <c r="AI78" s="172"/>
      <c r="AJ78" s="172"/>
      <c r="AK78" s="172"/>
      <c r="AL78" s="172"/>
      <c r="AM78" s="172"/>
      <c r="AN78" s="172"/>
      <c r="AO78" s="172"/>
    </row>
    <row r="79" spans="1:41" s="185" customFormat="1">
      <c r="A79" s="7"/>
      <c r="B79" s="7"/>
      <c r="C79" s="186"/>
      <c r="D79" s="186"/>
      <c r="E79" s="186"/>
      <c r="F79" s="186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72"/>
      <c r="U79" s="172"/>
      <c r="V79" s="172"/>
      <c r="W79" s="7"/>
      <c r="X79" s="7"/>
      <c r="Y79" s="7"/>
      <c r="Z79" s="7"/>
      <c r="AA79" s="7"/>
      <c r="AB79" s="7"/>
      <c r="AC79" s="184"/>
      <c r="AD79" s="184"/>
      <c r="AE79" s="184"/>
      <c r="AF79" s="7"/>
      <c r="AG79" s="172"/>
      <c r="AH79" s="172"/>
      <c r="AI79" s="172"/>
      <c r="AJ79" s="172"/>
      <c r="AK79" s="172"/>
      <c r="AL79" s="172"/>
      <c r="AM79" s="172"/>
      <c r="AN79" s="172"/>
      <c r="AO79" s="172"/>
    </row>
    <row r="80" spans="1:41" s="185" customFormat="1">
      <c r="A80" s="7"/>
      <c r="B80" s="7"/>
      <c r="C80" s="46"/>
      <c r="D80" s="46"/>
      <c r="E80" s="46"/>
      <c r="F80" s="46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72"/>
      <c r="U80" s="172"/>
      <c r="V80" s="172"/>
      <c r="W80" s="7"/>
      <c r="X80" s="7"/>
      <c r="Y80" s="7"/>
      <c r="Z80" s="7"/>
      <c r="AA80" s="7"/>
      <c r="AB80" s="7"/>
      <c r="AC80" s="184"/>
      <c r="AD80" s="184"/>
      <c r="AE80" s="184"/>
      <c r="AF80" s="7"/>
      <c r="AG80" s="172"/>
      <c r="AH80" s="172"/>
      <c r="AI80" s="172"/>
      <c r="AJ80" s="172"/>
      <c r="AK80" s="172"/>
      <c r="AL80" s="172"/>
      <c r="AM80" s="172"/>
      <c r="AN80" s="172"/>
      <c r="AO80" s="172"/>
    </row>
    <row r="81" spans="1:41" s="185" customFormat="1">
      <c r="A81" s="7"/>
      <c r="B81" s="7"/>
      <c r="C81" s="46"/>
      <c r="D81" s="46"/>
      <c r="E81" s="46"/>
      <c r="F81" s="46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72"/>
      <c r="U81" s="172"/>
      <c r="V81" s="172"/>
      <c r="W81" s="7"/>
      <c r="X81" s="7"/>
      <c r="Y81" s="7"/>
      <c r="Z81" s="7"/>
      <c r="AA81" s="7"/>
      <c r="AB81" s="7"/>
      <c r="AC81" s="184"/>
      <c r="AD81" s="184"/>
      <c r="AE81" s="184"/>
      <c r="AF81" s="7"/>
      <c r="AG81" s="172"/>
      <c r="AH81" s="172"/>
      <c r="AI81" s="172"/>
      <c r="AJ81" s="172"/>
      <c r="AK81" s="172"/>
      <c r="AL81" s="172"/>
      <c r="AM81" s="172"/>
      <c r="AN81" s="172"/>
      <c r="AO81" s="172"/>
    </row>
    <row r="82" spans="1:41" s="185" customFormat="1">
      <c r="A82" s="7"/>
      <c r="B82" s="7"/>
      <c r="C82" s="186"/>
      <c r="D82" s="186"/>
      <c r="E82" s="186"/>
      <c r="F82" s="186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72"/>
      <c r="U82" s="172"/>
      <c r="V82" s="172"/>
      <c r="W82" s="7"/>
      <c r="X82" s="7"/>
      <c r="Y82" s="7"/>
      <c r="Z82" s="7"/>
      <c r="AA82" s="7"/>
      <c r="AB82" s="7"/>
      <c r="AC82" s="184"/>
      <c r="AD82" s="184"/>
      <c r="AE82" s="184"/>
      <c r="AF82" s="7"/>
      <c r="AG82" s="172"/>
      <c r="AH82" s="172"/>
      <c r="AI82" s="172"/>
      <c r="AJ82" s="172"/>
      <c r="AK82" s="172"/>
      <c r="AL82" s="172"/>
      <c r="AM82" s="172"/>
      <c r="AN82" s="172"/>
      <c r="AO82" s="172"/>
    </row>
    <row r="83" spans="1:41" s="185" customFormat="1">
      <c r="A83" s="7"/>
      <c r="B83" s="7"/>
      <c r="C83" s="46"/>
      <c r="D83" s="46"/>
      <c r="E83" s="46"/>
      <c r="F83" s="46"/>
      <c r="G83" s="184"/>
      <c r="H83" s="184"/>
      <c r="I83" s="184"/>
      <c r="J83" s="184"/>
      <c r="K83" s="184"/>
      <c r="L83" s="184"/>
      <c r="M83" s="184"/>
      <c r="N83" s="184"/>
      <c r="O83" s="184"/>
      <c r="P83" s="184"/>
      <c r="Q83" s="184"/>
      <c r="R83" s="184"/>
      <c r="S83" s="184"/>
      <c r="T83" s="172"/>
      <c r="U83" s="172"/>
      <c r="V83" s="172"/>
      <c r="W83" s="7"/>
      <c r="X83" s="7"/>
      <c r="Y83" s="7"/>
      <c r="Z83" s="7"/>
      <c r="AA83" s="7"/>
      <c r="AB83" s="7"/>
      <c r="AC83" s="184"/>
      <c r="AD83" s="184"/>
      <c r="AE83" s="184"/>
      <c r="AF83" s="7"/>
      <c r="AG83" s="172"/>
      <c r="AH83" s="172"/>
      <c r="AI83" s="172"/>
      <c r="AJ83" s="172"/>
      <c r="AK83" s="172"/>
      <c r="AL83" s="172"/>
      <c r="AM83" s="172"/>
      <c r="AN83" s="172"/>
      <c r="AO83" s="172"/>
    </row>
    <row r="84" spans="1:41" s="185" customFormat="1">
      <c r="A84" s="7"/>
      <c r="B84" s="7"/>
      <c r="C84" s="46"/>
      <c r="D84" s="46"/>
      <c r="E84" s="46"/>
      <c r="F84" s="46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72"/>
      <c r="U84" s="172"/>
      <c r="V84" s="172"/>
      <c r="W84" s="7"/>
      <c r="X84" s="7"/>
      <c r="Y84" s="7"/>
      <c r="Z84" s="7"/>
      <c r="AA84" s="7"/>
      <c r="AB84" s="7"/>
      <c r="AC84" s="184"/>
      <c r="AD84" s="184"/>
      <c r="AE84" s="184"/>
      <c r="AF84" s="7"/>
      <c r="AG84" s="172"/>
      <c r="AH84" s="172"/>
      <c r="AI84" s="172"/>
      <c r="AJ84" s="172"/>
      <c r="AK84" s="172"/>
      <c r="AL84" s="172"/>
      <c r="AM84" s="172"/>
      <c r="AN84" s="172"/>
      <c r="AO84" s="172"/>
    </row>
    <row r="85" spans="1:41" s="185" customFormat="1">
      <c r="A85" s="7"/>
      <c r="B85" s="7"/>
      <c r="C85" s="46"/>
      <c r="D85" s="46"/>
      <c r="E85" s="46"/>
      <c r="F85" s="46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72"/>
      <c r="U85" s="172"/>
      <c r="V85" s="172"/>
      <c r="W85" s="7"/>
      <c r="X85" s="7"/>
      <c r="Y85" s="7"/>
      <c r="Z85" s="7"/>
      <c r="AA85" s="7"/>
      <c r="AB85" s="7"/>
      <c r="AC85" s="184"/>
      <c r="AD85" s="184"/>
      <c r="AE85" s="184"/>
      <c r="AF85" s="7"/>
      <c r="AG85" s="172"/>
      <c r="AH85" s="172"/>
      <c r="AI85" s="172"/>
      <c r="AJ85" s="172"/>
      <c r="AK85" s="172"/>
      <c r="AL85" s="172"/>
      <c r="AM85" s="172"/>
      <c r="AN85" s="172"/>
      <c r="AO85" s="172"/>
    </row>
    <row r="86" spans="1:41" s="185" customFormat="1">
      <c r="A86" s="7"/>
      <c r="B86" s="7"/>
      <c r="C86" s="46"/>
      <c r="D86" s="46"/>
      <c r="E86" s="46"/>
      <c r="F86" s="46"/>
      <c r="G86" s="184"/>
      <c r="H86" s="184"/>
      <c r="I86" s="184"/>
      <c r="J86" s="184"/>
      <c r="K86" s="184"/>
      <c r="L86" s="184"/>
      <c r="M86" s="184"/>
      <c r="N86" s="184"/>
      <c r="O86" s="184"/>
      <c r="P86" s="184"/>
      <c r="Q86" s="184"/>
      <c r="R86" s="184"/>
      <c r="S86" s="184"/>
      <c r="T86" s="172"/>
      <c r="U86" s="172"/>
      <c r="V86" s="172"/>
      <c r="W86" s="7"/>
      <c r="X86" s="7"/>
      <c r="Y86" s="7"/>
      <c r="Z86" s="7"/>
      <c r="AA86" s="7"/>
      <c r="AB86" s="7"/>
      <c r="AC86" s="184"/>
      <c r="AD86" s="184"/>
      <c r="AE86" s="184"/>
      <c r="AF86" s="7"/>
      <c r="AG86" s="172"/>
      <c r="AH86" s="172"/>
      <c r="AI86" s="172"/>
      <c r="AJ86" s="172"/>
      <c r="AK86" s="172"/>
      <c r="AL86" s="172"/>
      <c r="AM86" s="172"/>
      <c r="AN86" s="172"/>
      <c r="AO86" s="172"/>
    </row>
  </sheetData>
  <mergeCells count="21">
    <mergeCell ref="E25:F25"/>
    <mergeCell ref="E26:F26"/>
    <mergeCell ref="I26:K26"/>
    <mergeCell ref="L26:N26"/>
    <mergeCell ref="O26:Q26"/>
    <mergeCell ref="E27:F27"/>
    <mergeCell ref="I27:K27"/>
    <mergeCell ref="L27:N27"/>
    <mergeCell ref="O27:Q27"/>
    <mergeCell ref="AA7:AA8"/>
    <mergeCell ref="AB7:AB8"/>
    <mergeCell ref="AH7:AH8"/>
    <mergeCell ref="AI7:AK7"/>
    <mergeCell ref="AL7:AN7"/>
    <mergeCell ref="E24:F24"/>
    <mergeCell ref="B7:B8"/>
    <mergeCell ref="C7:C8"/>
    <mergeCell ref="D7:D8"/>
    <mergeCell ref="E7:F8"/>
    <mergeCell ref="T7:V8"/>
    <mergeCell ref="Z7:Z8"/>
  </mergeCells>
  <printOptions horizontalCentered="1" verticalCentered="1"/>
  <pageMargins left="0" right="0" top="0.51181102362204722" bottom="0" header="0.31496062992125984" footer="0.31496062992125984"/>
  <pageSetup paperSize="9" scale="96" orientation="landscape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</vt:lpstr>
      <vt:lpstr>I!Print_Area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Nur Muhlis</dc:creator>
  <cp:lastModifiedBy>Muhammad Nur Muhlis</cp:lastModifiedBy>
  <dcterms:created xsi:type="dcterms:W3CDTF">2026-08-14T02:45:09Z</dcterms:created>
  <dcterms:modified xsi:type="dcterms:W3CDTF">2026-08-14T02:47:03Z</dcterms:modified>
</cp:coreProperties>
</file>